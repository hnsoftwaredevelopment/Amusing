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\hnsoftwaredevelopment\Amusing\Amusing\"/>
    </mc:Choice>
  </mc:AlternateContent>
  <xr:revisionPtr revIDLastSave="0" documentId="13_ncr:1_{5E06B7DB-7DA2-433D-8E29-487865B08F60}" xr6:coauthVersionLast="47" xr6:coauthVersionMax="47" xr10:uidLastSave="{00000000-0000-0000-0000-000000000000}"/>
  <bookViews>
    <workbookView xWindow="28680" yWindow="-120" windowWidth="29040" windowHeight="15720" xr2:uid="{DD9846B8-4702-4CDD-B285-7BC06D04B03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9" i="1" l="1" a="1"/>
  <c r="L129" i="1" s="1"/>
  <c r="L128" i="1"/>
  <c r="L128" i="1" a="1"/>
  <c r="L127" i="1" a="1"/>
  <c r="L127" i="1" s="1"/>
  <c r="L126" i="1" a="1"/>
  <c r="L126" i="1" s="1"/>
  <c r="L125" i="1" a="1"/>
  <c r="L125" i="1" s="1"/>
  <c r="L124" i="1" a="1"/>
  <c r="L124" i="1" s="1"/>
  <c r="L123" i="1"/>
  <c r="L123" i="1" a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/>
  <c r="L111" i="1" a="1"/>
  <c r="L110" i="1" a="1"/>
  <c r="L110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L102" i="1" a="1"/>
  <c r="L102" i="1" s="1"/>
  <c r="L101" i="1" a="1"/>
  <c r="L101" i="1" s="1"/>
  <c r="L100" i="1" a="1"/>
  <c r="L100" i="1" s="1"/>
  <c r="L99" i="1"/>
  <c r="L99" i="1" a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90" i="1" a="1"/>
  <c r="L90" i="1" s="1"/>
  <c r="L89" i="1" a="1"/>
  <c r="L89" i="1" s="1"/>
  <c r="L88" i="1" a="1"/>
  <c r="L88" i="1" s="1"/>
  <c r="L87" i="1"/>
  <c r="L87" i="1" a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9" i="1" a="1"/>
  <c r="L79" i="1" s="1"/>
  <c r="L78" i="1" a="1"/>
  <c r="L78" i="1" s="1"/>
  <c r="L77" i="1" a="1"/>
  <c r="L77" i="1" s="1"/>
  <c r="L76" i="1" a="1"/>
  <c r="L76" i="1" s="1"/>
  <c r="L75" i="1"/>
  <c r="L75" i="1" a="1"/>
  <c r="L74" i="1" a="1"/>
  <c r="L74" i="1" s="1"/>
  <c r="L73" i="1" a="1"/>
  <c r="L73" i="1" s="1"/>
  <c r="L72" i="1" a="1"/>
  <c r="L72" i="1" s="1"/>
  <c r="L71" i="1" a="1"/>
  <c r="L71" i="1" s="1"/>
  <c r="L70" i="1" a="1"/>
  <c r="L70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/>
  <c r="L63" i="1" a="1"/>
  <c r="L62" i="1" a="1"/>
  <c r="L62" i="1" s="1"/>
  <c r="L61" i="1" a="1"/>
  <c r="L61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/>
  <c r="L51" i="1" a="1"/>
  <c r="L50" i="1" a="1"/>
  <c r="L50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/>
  <c r="L39" i="1" a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30" i="1" a="1"/>
  <c r="L30" i="1" s="1"/>
  <c r="L29" i="1" a="1"/>
  <c r="L29" i="1" s="1"/>
  <c r="L28" i="1" a="1"/>
  <c r="L28" i="1" s="1"/>
  <c r="L27" i="1"/>
  <c r="L27" i="1" a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/>
  <c r="L19" i="1" a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/>
  <c r="L7" i="1" a="1"/>
  <c r="L6" i="1" a="1"/>
  <c r="L6" i="1" s="1"/>
  <c r="L5" i="1" a="1"/>
  <c r="L5" i="1" s="1"/>
  <c r="L4" i="1" a="1"/>
  <c r="L4" i="1" s="1"/>
  <c r="L3" i="1" a="1"/>
  <c r="L3" i="1" s="1"/>
  <c r="L26" i="1" a="1"/>
  <c r="L26" i="1"/>
  <c r="O3" i="1" a="1"/>
  <c r="O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<sst xmlns="http://schemas.openxmlformats.org/spreadsheetml/2006/main" count="551" uniqueCount="238">
  <si>
    <t>ah_festivals</t>
  </si>
  <si>
    <t>ah_zanggroepen</t>
  </si>
  <si>
    <t>ah_podia</t>
  </si>
  <si>
    <t>ah_vrijwilligersdiensten</t>
  </si>
  <si>
    <t>ah_optredens</t>
  </si>
  <si>
    <t>ah_voorwaarden</t>
  </si>
  <si>
    <t>naam</t>
  </si>
  <si>
    <t>datum</t>
  </si>
  <si>
    <t>Tabel</t>
  </si>
  <si>
    <t>&lt;festival_id&gt;</t>
  </si>
  <si>
    <t>&lt;naam&gt;</t>
  </si>
  <si>
    <t>Amusing Hengelo 2025</t>
  </si>
  <si>
    <t>&lt;duuroptreden&gt;</t>
  </si>
  <si>
    <t>&lt;start_festivaldag&gt;</t>
  </si>
  <si>
    <t>&lt;einde_festivaldag&gt;</t>
  </si>
  <si>
    <t>&lt;begin_pauze&gt;</t>
  </si>
  <si>
    <t>&lt;einde_pauze&gt;</t>
  </si>
  <si>
    <t>&lt;einde_ervaren_reserve&gt;</t>
  </si>
  <si>
    <t>Voorbeeld</t>
  </si>
  <si>
    <t>&lt;zanggroep_id&gt;</t>
  </si>
  <si>
    <t>&lt;podium_id&gt;</t>
  </si>
  <si>
    <t>&lt;van&gt;</t>
  </si>
  <si>
    <t>&lt;tot&gt;</t>
  </si>
  <si>
    <t>&lt;vastgezet&gt;</t>
  </si>
  <si>
    <t>&lt;beschrijving&gt;</t>
  </si>
  <si>
    <t>false</t>
  </si>
  <si>
    <t>Schouwburg Hengelo Middenzaal, starttijd 11:00, zanggroep Popkoor Wiezz</t>
  </si>
  <si>
    <t>ah_podium_type_relaties</t>
  </si>
  <si>
    <t>&lt;podium_type_id&gt;</t>
  </si>
  <si>
    <t>&lt;vervangt_podium_type_id&gt;</t>
  </si>
  <si>
    <t>ah_podium_genre_relaties</t>
  </si>
  <si>
    <t>optioneel</t>
  </si>
  <si>
    <t>geen data</t>
  </si>
  <si>
    <t>ah_podium_koor_relaties</t>
  </si>
  <si>
    <t>Opmerkingen</t>
  </si>
  <si>
    <t>&lt;waarde&gt;</t>
  </si>
  <si>
    <t>WensTijdTussenOptredens</t>
  </si>
  <si>
    <t>MaxTijdTussenOptredens</t>
  </si>
  <si>
    <t>MaxLengteVrijwilligerDienst</t>
  </si>
  <si>
    <t>BoeteOnderbrekingOptredens</t>
  </si>
  <si>
    <t>TaakNamenZonderOverstapTijd</t>
  </si>
  <si>
    <t>Vrijwilligersbalie;Garderobe</t>
  </si>
  <si>
    <t>ReserveTaakNaam</t>
  </si>
  <si>
    <t>Reserve voor oproep</t>
  </si>
  <si>
    <t>ah_podium_types</t>
  </si>
  <si>
    <t>B</t>
  </si>
  <si>
    <t>ah_genres</t>
  </si>
  <si>
    <t>&lt;genre_id&gt;</t>
  </si>
  <si>
    <t>Barbershop</t>
  </si>
  <si>
    <t>ah_inschrijvingen</t>
  </si>
  <si>
    <t>&lt;wens_1&gt;</t>
  </si>
  <si>
    <t>&lt;wens_2&gt;</t>
  </si>
  <si>
    <t>&lt;wens_3&gt;</t>
  </si>
  <si>
    <t>&lt;wens_4&gt;</t>
  </si>
  <si>
    <t>&lt;aantal_deelnemers&gt;</t>
  </si>
  <si>
    <t>&lt;podiumsoort&gt;</t>
  </si>
  <si>
    <t>&lt;podiumkeuze_geforceerd&gt;</t>
  </si>
  <si>
    <t>&lt;ingeschreven&gt;</t>
  </si>
  <si>
    <t>&lt;beschikbaar_van&gt;</t>
  </si>
  <si>
    <t>&lt;beschikbaar_tot&gt;</t>
  </si>
  <si>
    <t>&lt;wachtlijst&gt;</t>
  </si>
  <si>
    <t>&lt;binnenoptredens&gt;</t>
  </si>
  <si>
    <t>&lt;buitenoptredens&gt;</t>
  </si>
  <si>
    <t>&lt;bevestigd&gt;</t>
  </si>
  <si>
    <t>nee</t>
  </si>
  <si>
    <t>D</t>
  </si>
  <si>
    <t>ah_personen_rollen</t>
  </si>
  <si>
    <t>&lt;persoon_id&gt;</t>
  </si>
  <si>
    <t>&lt;rol&gt;</t>
  </si>
  <si>
    <t>dirigent</t>
  </si>
  <si>
    <t>&lt;achternaam&gt;</t>
  </si>
  <si>
    <t>Timo</t>
  </si>
  <si>
    <t>Matser</t>
  </si>
  <si>
    <t>ah_personen</t>
  </si>
  <si>
    <t>&lt;soort&gt;</t>
  </si>
  <si>
    <t>&lt;type&gt;</t>
  </si>
  <si>
    <t>&lt;kwaliteit&gt;</t>
  </si>
  <si>
    <t>&lt;max_zangers&gt;</t>
  </si>
  <si>
    <t>&lt;aantal_vrijwilligers&gt;</t>
  </si>
  <si>
    <t>&lt;opening&gt;</t>
  </si>
  <si>
    <t>&lt;sluiting&gt;</t>
  </si>
  <si>
    <t>&lt;vrijwilligers_vanaf&gt;</t>
  </si>
  <si>
    <t>&lt;vrijwilligers_tot&gt;</t>
  </si>
  <si>
    <t>&lt;kaart_nummer&gt;</t>
  </si>
  <si>
    <t>Schouwburg Hengelo Midden</t>
  </si>
  <si>
    <t>binnen</t>
  </si>
  <si>
    <t>&lt;standplaats&gt;</t>
  </si>
  <si>
    <t>&lt;land&gt;</t>
  </si>
  <si>
    <t>Twentet AMUSING</t>
  </si>
  <si>
    <t>Hengelo</t>
  </si>
  <si>
    <t>nl</t>
  </si>
  <si>
    <t>ah_vrijwilligers</t>
  </si>
  <si>
    <t>&lt;id&gt;</t>
  </si>
  <si>
    <t>&lt;datum&gt;</t>
  </si>
  <si>
    <t>&lt;uren_achtereen&gt;</t>
  </si>
  <si>
    <t>&lt;lunch&gt;</t>
  </si>
  <si>
    <t>&lt;vegetarisch&gt;</t>
  </si>
  <si>
    <t>&lt;bijeenkomst&gt;</t>
  </si>
  <si>
    <t>&lt;ervaring&gt;</t>
  </si>
  <si>
    <t>&lt;podiumdienst&gt;</t>
  </si>
  <si>
    <t>&lt;taken&gt;</t>
  </si>
  <si>
    <t>&lt;samen_met&gt;</t>
  </si>
  <si>
    <t>&lt;podiumvoorkeur&gt;</t>
  </si>
  <si>
    <t>&lt;podiumafkeur&gt;</t>
  </si>
  <si>
    <t>&lt;koorvoorkeur&gt;</t>
  </si>
  <si>
    <t>&lt;koorafkeur&gt;</t>
  </si>
  <si>
    <t>&lt;taakvoorkeur&gt;</t>
  </si>
  <si>
    <t>&lt;taakafkeur&gt;</t>
  </si>
  <si>
    <t>&lt;opmerkingen&gt;</t>
  </si>
  <si>
    <t>ja</t>
  </si>
  <si>
    <t>Niet bij FC Twente Voetbalkoor</t>
  </si>
  <si>
    <t>TimeSlot</t>
  </si>
  <si>
    <t>Timeslot</t>
  </si>
  <si>
    <t>Geen data</t>
  </si>
  <si>
    <t>ah_taken</t>
  </si>
  <si>
    <t>&lt;taak_id&gt;</t>
  </si>
  <si>
    <t>&lt;korte_naam&gt;</t>
  </si>
  <si>
    <t>&lt;minimumduur&gt;</t>
  </si>
  <si>
    <t>&lt;maximumduur&gt;</t>
  </si>
  <si>
    <t>Pwacht</t>
  </si>
  <si>
    <t>ROC parkeerplaats</t>
  </si>
  <si>
    <t>ah_taakbezetting</t>
  </si>
  <si>
    <t>&lt;aantal&gt;</t>
  </si>
  <si>
    <t>MySql tabel</t>
  </si>
  <si>
    <t>veld</t>
  </si>
  <si>
    <t>Data type</t>
  </si>
  <si>
    <t>ah_podia_typen</t>
  </si>
  <si>
    <t>type_id</t>
  </si>
  <si>
    <t>int</t>
  </si>
  <si>
    <t>compatibel_met</t>
  </si>
  <si>
    <t>Veld geeft nu A,B type_id's moeten worden opgezocht en per type regel toevoegen</t>
  </si>
  <si>
    <t>festival_id</t>
  </si>
  <si>
    <t>start_festivaldag</t>
  </si>
  <si>
    <t>einde_festivaldag</t>
  </si>
  <si>
    <t>begin_pauze</t>
  </si>
  <si>
    <t>einde_pauze</t>
  </si>
  <si>
    <t>einde_ervaren_reserve</t>
  </si>
  <si>
    <t>uint</t>
  </si>
  <si>
    <t>YEAR(festivaldatum)</t>
  </si>
  <si>
    <t>Samenvoegen met de tekst "Amusing Hengelo "</t>
  </si>
  <si>
    <t>Hardcoded</t>
  </si>
  <si>
    <t>time</t>
  </si>
  <si>
    <t>planner_voorwaarden</t>
  </si>
  <si>
    <t>Op festival_id (uint)</t>
  </si>
  <si>
    <t>ah_podium_typen</t>
  </si>
  <si>
    <t>type</t>
  </si>
  <si>
    <t>genre_id</t>
  </si>
  <si>
    <t>zanggroep_id</t>
  </si>
  <si>
    <t>wens_1</t>
  </si>
  <si>
    <t>wens_2</t>
  </si>
  <si>
    <t>wens_3</t>
  </si>
  <si>
    <t>wens_4</t>
  </si>
  <si>
    <t>aantal_deelnemers</t>
  </si>
  <si>
    <t>podiumsoort</t>
  </si>
  <si>
    <t>podiumkeuze_geforceerd</t>
  </si>
  <si>
    <t>ingeschreven</t>
  </si>
  <si>
    <t>beschikbaar_van</t>
  </si>
  <si>
    <t>beschikbaar_tot</t>
  </si>
  <si>
    <t>wachtlijst</t>
  </si>
  <si>
    <t>binnenoptredens</t>
  </si>
  <si>
    <t>buitenoptredens</t>
  </si>
  <si>
    <t>bevestigd</t>
  </si>
  <si>
    <t>datetime</t>
  </si>
  <si>
    <t>persoon_id</t>
  </si>
  <si>
    <t>rol</t>
  </si>
  <si>
    <t>&lt;voornaam&gt;</t>
  </si>
  <si>
    <t>&lt;tussenvoegsel&gt;</t>
  </si>
  <si>
    <t>voornaam</t>
  </si>
  <si>
    <t>tussenvoegsel</t>
  </si>
  <si>
    <t>achternaam</t>
  </si>
  <si>
    <t>podium_id</t>
  </si>
  <si>
    <t>soort</t>
  </si>
  <si>
    <t>kwaliteit</t>
  </si>
  <si>
    <t>max_zangers</t>
  </si>
  <si>
    <t>aantal_vrijwilligers</t>
  </si>
  <si>
    <t>opening</t>
  </si>
  <si>
    <t>sluiting</t>
  </si>
  <si>
    <t>vrijwilligers_vanaf</t>
  </si>
  <si>
    <t>vrijwilligers_tot</t>
  </si>
  <si>
    <t>kaart_nummer</t>
  </si>
  <si>
    <t>standplaats</t>
  </si>
  <si>
    <t>land</t>
  </si>
  <si>
    <t>id</t>
  </si>
  <si>
    <t>uren_achtereen</t>
  </si>
  <si>
    <t>lunch</t>
  </si>
  <si>
    <t>vegetarisch</t>
  </si>
  <si>
    <t>bijeenkomst</t>
  </si>
  <si>
    <t>ervaring</t>
  </si>
  <si>
    <t>podiumdienst</t>
  </si>
  <si>
    <t>taken</t>
  </si>
  <si>
    <t>samen_met</t>
  </si>
  <si>
    <t>podiumvoorkeur</t>
  </si>
  <si>
    <t>podiumafkeur</t>
  </si>
  <si>
    <t>koorvoorkeur</t>
  </si>
  <si>
    <t>koorafkeur</t>
  </si>
  <si>
    <t>taakvoorkeur</t>
  </si>
  <si>
    <t>taakafkeur</t>
  </si>
  <si>
    <t>opmerkingen</t>
  </si>
  <si>
    <t>planner_optredens</t>
  </si>
  <si>
    <t>op festival_id (uint)</t>
  </si>
  <si>
    <t>van</t>
  </si>
  <si>
    <t>tot</t>
  </si>
  <si>
    <t>vastgezet</t>
  </si>
  <si>
    <t>taak_id</t>
  </si>
  <si>
    <t>korte_naam</t>
  </si>
  <si>
    <t>minimumduur</t>
  </si>
  <si>
    <t>Index van &lt;van&gt; timeslot</t>
  </si>
  <si>
    <t>Zoek index in dictionary</t>
  </si>
  <si>
    <t>van + 30 min</t>
  </si>
  <si>
    <t>Samenvoeging</t>
  </si>
  <si>
    <t>Podium naam + starttijd: + &lt;van&gt; + zangggroep + &lt;groepnaam&gt;</t>
  </si>
  <si>
    <t>maximumduur</t>
  </si>
  <si>
    <t>planner_vrijwilligersdiensten</t>
  </si>
  <si>
    <t>taak</t>
  </si>
  <si>
    <t>bezetting_tijdvak(1,2)_van</t>
  </si>
  <si>
    <t>bezetting_tijdvak(1,2)_tot</t>
  </si>
  <si>
    <t>aantal_vrijwilligers_tijdvak(1,2)</t>
  </si>
  <si>
    <t>Per tijdvak 1 row (indien van toepassing) en actief=ja)</t>
  </si>
  <si>
    <t>Model</t>
  </si>
  <si>
    <t>PlanniningStageTypesModel</t>
  </si>
  <si>
    <t>PlanningGenresModel</t>
  </si>
  <si>
    <t>PlanningConditionsModel</t>
  </si>
  <si>
    <t>PlanningFestivalsModel</t>
  </si>
  <si>
    <t>PlanningRegistrationsModel</t>
  </si>
  <si>
    <t>PlanningPersonRolesModel</t>
  </si>
  <si>
    <t>PlanningStagesModel</t>
  </si>
  <si>
    <t>PlanningGroupsModel</t>
  </si>
  <si>
    <t>PlanningVolunteersModel</t>
  </si>
  <si>
    <t>PlanningPerformancesModel</t>
  </si>
  <si>
    <t>PlanningVolunteerTasksModel</t>
  </si>
  <si>
    <t>PlanningVolunteerTaskOccupancyModel</t>
  </si>
  <si>
    <t>string</t>
  </si>
  <si>
    <t>timeonly</t>
  </si>
  <si>
    <t>duur_optreden</t>
  </si>
  <si>
    <t>Hardcoded, veld bestaad niet</t>
  </si>
  <si>
    <t>x</t>
  </si>
  <si>
    <t>PlanningPersonsModel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</si>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</sst>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1" fillId="0" borderId="0" xfId="0" applyFont="1"/>
    <xf numFmtId="20" fontId="1" fillId="0" borderId="0" xfId="0" applyNumberFormat="1" applyFont="1"/>
    <xf numFmtId="0" fontId="0" fillId="2" borderId="0" xfId="0" applyFill="1"/>
    <xf numFmtId="0" fontId="2" fillId="0" borderId="0" xfId="0" applyFont="1"/>
    <xf numFmtId="22" fontId="0" fillId="0" borderId="0" xfId="0" applyNumberFormat="1"/>
    <xf numFmtId="21" fontId="0" fillId="0" borderId="0" xfId="0" applyNumberForma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4A9E-C2B5-466D-80C2-F859DE4DD3E4}">
  <dimension ref="B1:P129"/>
  <sheetViews>
    <sheetView tabSelected="1" topLeftCell="A105" workbookViewId="0">
      <selection activeCell="F124" sqref="F124"/>
    </sheetView>
  </sheetViews>
  <sheetFormatPr defaultRowHeight="15" x14ac:dyDescent="0.25"/>
  <cols>
    <col min="1" max="1" width="2.42578125" customWidth="1"/>
    <col min="2" max="2" width="25" bestFit="1" customWidth="1"/>
    <col min="3" max="3" width="25.5703125" bestFit="1" customWidth="1"/>
    <col min="4" max="4" width="21" bestFit="1" customWidth="1"/>
    <col min="5" max="5" width="12.85546875" bestFit="1" customWidth="1"/>
    <col min="6" max="6" width="27.7109375" bestFit="1" customWidth="1"/>
    <col min="7" max="7" width="29.7109375" bestFit="1" customWidth="1"/>
    <col min="8" max="8" width="14.7109375" bestFit="1" customWidth="1"/>
    <col min="9" max="9" width="26.28515625" bestFit="1" customWidth="1"/>
    <col min="10" max="10" width="72.85546875" bestFit="1" customWidth="1"/>
  </cols>
  <sheetData>
    <row r="1" spans="2:16" x14ac:dyDescent="0.25">
      <c r="B1" t="s">
        <v>8</v>
      </c>
      <c r="D1" t="s">
        <v>18</v>
      </c>
      <c r="E1" t="s">
        <v>34</v>
      </c>
      <c r="F1" t="s">
        <v>123</v>
      </c>
      <c r="G1" t="s">
        <v>124</v>
      </c>
      <c r="H1" t="s">
        <v>125</v>
      </c>
      <c r="I1" t="s">
        <v>18</v>
      </c>
      <c r="J1" t="s">
        <v>34</v>
      </c>
      <c r="K1" t="s">
        <v>218</v>
      </c>
    </row>
    <row r="2" spans="2:16" x14ac:dyDescent="0.25">
      <c r="B2" s="5" t="s">
        <v>27</v>
      </c>
      <c r="F2" s="5" t="s">
        <v>126</v>
      </c>
      <c r="K2" t="s">
        <v>219</v>
      </c>
    </row>
    <row r="3" spans="2:16" x14ac:dyDescent="0.25">
      <c r="C3" t="s">
        <v>28</v>
      </c>
      <c r="D3">
        <v>2</v>
      </c>
      <c r="F3" s="5" t="s">
        <v>235</v>
      </c>
      <c r="G3" t="s">
        <v>127</v>
      </c>
      <c r="H3" t="s">
        <v>128</v>
      </c>
      <c r="I3">
        <v>2</v>
      </c>
      <c r="L3" t="str" cm="1">
        <f t="array" ref="L3">IF($G3="","",_xlfn.CONCAT("public ",$H3," ",_xlfn.CONCAT(PROPER(_xlfn.TEXTSPLIT($G3, "_")))," { get; set; }",IF(COUNTIF(J3,"*"&amp;"Hardcoded"&amp;"*"),_xlfn.CONCAT(" = ",IF($H3="string",CHAR(34),""),I3,IF($H3="string",CHAR(34),""),";"),"")))</f>
        <v>public int TypeId { get; set; }</v>
      </c>
      <c r="O3" t="str" cm="1">
        <f t="array" ref="O3">_xlfn.CONCAT(PROPER(_xlfn.TEXTSPLIT($G3, "_")))</f>
        <v>TypeId</v>
      </c>
    </row>
    <row r="4" spans="2:16" x14ac:dyDescent="0.25">
      <c r="C4" t="s">
        <v>29</v>
      </c>
      <c r="D4">
        <v>2</v>
      </c>
      <c r="F4" s="5" t="s">
        <v>235</v>
      </c>
      <c r="G4" t="s">
        <v>129</v>
      </c>
      <c r="H4" t="s">
        <v>231</v>
      </c>
      <c r="I4" s="4">
        <v>2</v>
      </c>
      <c r="J4" s="4" t="s">
        <v>130</v>
      </c>
      <c r="L4" t="str" cm="1">
        <f t="array" ref="L4">IF($G4="","",_xlfn.CONCAT("public ",$H4," ",_xlfn.CONCAT(PROPER(_xlfn.TEXTSPLIT($G4, "_")))," { get; set; }",IF(COUNTIF(J4,"*"&amp;"Hardcoded"&amp;"*"),_xlfn.CONCAT(" = ",IF($H4="string",CHAR(34),""),I4,IF($H4="string",CHAR(34),""),";"),"")))</f>
        <v>public string CompatibelMet { get; set; }</v>
      </c>
    </row>
    <row r="5" spans="2:16" x14ac:dyDescent="0.25">
      <c r="C5" s="4" t="s">
        <v>29</v>
      </c>
      <c r="D5" s="4">
        <v>3</v>
      </c>
      <c r="E5" s="4" t="s">
        <v>31</v>
      </c>
      <c r="F5" s="5" t="s">
        <v>235</v>
      </c>
      <c r="G5" t="s">
        <v>129</v>
      </c>
      <c r="H5" t="s">
        <v>231</v>
      </c>
      <c r="I5" s="4">
        <v>3</v>
      </c>
      <c r="J5" s="4" t="s">
        <v>130</v>
      </c>
      <c r="L5" t="str" cm="1">
        <f t="array" ref="L5">IF($G5="","",_xlfn.CONCAT("public ",$H5," ",_xlfn.CONCAT(PROPER(_xlfn.TEXTSPLIT($G5, "_")))," { get; set; }",IF(COUNTIF(J5,"*"&amp;"Hardcoded"&amp;"*"),_xlfn.CONCAT(" = ",IF($H5="string",CHAR(34),""),I5,IF($H5="string",CHAR(34),""),";"),"")))</f>
        <v>public string CompatibelMet { get; set; }</v>
      </c>
    </row>
    <row r="6" spans="2:16" x14ac:dyDescent="0.25">
      <c r="B6" s="5" t="s">
        <v>30</v>
      </c>
      <c r="E6" s="4" t="s">
        <v>32</v>
      </c>
      <c r="F6" s="5"/>
      <c r="L6" t="str" cm="1">
        <f t="array" ref="L6">IF($G6="","",_xlfn.CONCAT("public ",$H6," ",_xlfn.CONCAT(PROPER(_xlfn.TEXTSPLIT($G6, "_")))," { get; set; }",IF(COUNTIF(J6,"*"&amp;"Hardcoded"&amp;"*"),_xlfn.CONCAT(" = ",IF($H6="string",CHAR(34),""),I6,IF($H6="string",CHAR(34),""),";"),"")))</f>
        <v/>
      </c>
    </row>
    <row r="7" spans="2:16" x14ac:dyDescent="0.25">
      <c r="B7" s="5" t="s">
        <v>33</v>
      </c>
      <c r="E7" s="4" t="s">
        <v>32</v>
      </c>
      <c r="F7" s="5"/>
      <c r="L7" t="str" cm="1">
        <f t="array" ref="L7">IF($G7="","",_xlfn.CONCAT("public ",$H7," ",_xlfn.CONCAT(PROPER(_xlfn.TEXTSPLIT($G7, "_")))," { get; set; }",IF(COUNTIF(J7,"*"&amp;"Hardcoded"&amp;"*"),_xlfn.CONCAT(" = ",IF($H7="string",CHAR(34),""),I7,IF($H7="string",CHAR(34),""),";"),"")))</f>
        <v/>
      </c>
    </row>
    <row r="8" spans="2:16" x14ac:dyDescent="0.25">
      <c r="B8" s="5" t="s">
        <v>0</v>
      </c>
      <c r="F8" s="5" t="s">
        <v>0</v>
      </c>
      <c r="K8" t="s">
        <v>222</v>
      </c>
      <c r="L8" t="str" cm="1">
        <f t="array" ref="L8">IF($G8="","",_xlfn.CONCAT("public ",$H8," ",_xlfn.CONCAT(PROPER(_xlfn.TEXTSPLIT($G8, "_")))," { get; set; }",IF(COUNTIF(J8,"*"&amp;"Hardcoded"&amp;"*"),_xlfn.CONCAT(" = ",IF($H8="string",CHAR(34),""),I8,IF($H8="string",CHAR(34),""),";"),"")))</f>
        <v/>
      </c>
    </row>
    <row r="9" spans="2:16" x14ac:dyDescent="0.25">
      <c r="C9" t="s">
        <v>9</v>
      </c>
      <c r="D9">
        <v>20</v>
      </c>
      <c r="F9" s="5"/>
      <c r="G9" t="s">
        <v>131</v>
      </c>
      <c r="H9" t="s">
        <v>137</v>
      </c>
      <c r="I9">
        <v>20</v>
      </c>
      <c r="L9" t="str" cm="1">
        <f t="array" ref="L9">IF($G9="","",_xlfn.CONCAT("public ",$H9," ",_xlfn.CONCAT(PROPER(_xlfn.TEXTSPLIT($G9, "_")))," { get; set; }",IF(COUNTIF(J9,"*"&amp;"Hardcoded"&amp;"*"),_xlfn.CONCAT(" = ",IF($H9="string",CHAR(34),""),I9,IF($H9="string",CHAR(34),""),";"),"")))</f>
        <v>public uint FestivalId { get; set; }</v>
      </c>
    </row>
    <row r="10" spans="2:16" x14ac:dyDescent="0.25">
      <c r="C10" t="s">
        <v>10</v>
      </c>
      <c r="D10" t="s">
        <v>11</v>
      </c>
      <c r="F10" s="5" t="s">
        <v>235</v>
      </c>
      <c r="G10" s="4" t="s">
        <v>138</v>
      </c>
      <c r="H10" t="s">
        <v>128</v>
      </c>
      <c r="I10" s="4">
        <v>2025</v>
      </c>
      <c r="J10" s="4" t="s">
        <v>139</v>
      </c>
      <c r="L10" t="str" cm="1">
        <f t="array" ref="L10">IF($G10="","",_xlfn.CONCAT("public ",$H10," ",_xlfn.CONCAT(PROPER(_xlfn.TEXTSPLIT($G10, "_")))," { get; set; }",IF(COUNTIF(J10,"*"&amp;"Hardcoded"&amp;"*"),_xlfn.CONCAT(" = ",IF($H10="string",CHAR(34),""),I10,IF($H10="string",CHAR(34),""),";"),"")))</f>
        <v>public int Year(Festivaldatum) { get; set; }</v>
      </c>
    </row>
    <row r="11" spans="2:16" ht="16.5" x14ac:dyDescent="0.3">
      <c r="C11" t="s">
        <v>12</v>
      </c>
      <c r="D11">
        <v>30</v>
      </c>
      <c r="F11" s="5" t="s">
        <v>235</v>
      </c>
      <c r="G11" s="4" t="s">
        <v>233</v>
      </c>
      <c r="H11" s="4" t="s">
        <v>128</v>
      </c>
      <c r="I11" s="4">
        <v>30</v>
      </c>
      <c r="J11" s="4" t="s">
        <v>234</v>
      </c>
      <c r="L11" t="str" cm="1">
        <f t="array" ref="L11">IF($G11="","",_xlfn.CONCAT("public ",$H11," ",_xlfn.CONCAT(PROPER(_xlfn.TEXTSPLIT($G11, "_")))," { get; set; }",IF(COUNTIF(J11,"*"&amp;"Hardcoded"&amp;"*"),_xlfn.CONCAT(" = ",IF($H11="string",CHAR(34),""),I11,IF($H11="string",CHAR(34),""),";"),"")))</f>
        <v>public int DuurOptreden { get; set; } = 30;</v>
      </c>
      <c r="P11" s="8"/>
    </row>
    <row r="12" spans="2:16" x14ac:dyDescent="0.25">
      <c r="C12" t="s">
        <v>13</v>
      </c>
      <c r="D12" s="1">
        <v>0.3125</v>
      </c>
      <c r="F12" s="5" t="s">
        <v>235</v>
      </c>
      <c r="G12" t="s">
        <v>132</v>
      </c>
      <c r="H12" t="s">
        <v>141</v>
      </c>
      <c r="I12" s="1">
        <v>0.3125</v>
      </c>
      <c r="L12" t="str" cm="1">
        <f t="array" ref="L12">IF($G12="","",_xlfn.CONCAT("public ",$H12," ",_xlfn.CONCAT(PROPER(_xlfn.TEXTSPLIT($G12, "_")))," { get; set; }",IF(COUNTIF(J12,"*"&amp;"Hardcoded"&amp;"*"),_xlfn.CONCAT(" = ",IF($H12="string",CHAR(34),""),I12,IF($H12="string",CHAR(34),""),";"),"")))</f>
        <v>public time StartFestivaldag { get; set; }</v>
      </c>
    </row>
    <row r="13" spans="2:16" x14ac:dyDescent="0.25">
      <c r="C13" t="s">
        <v>14</v>
      </c>
      <c r="D13" s="1">
        <v>0.8125</v>
      </c>
      <c r="F13" s="5" t="s">
        <v>235</v>
      </c>
      <c r="G13" t="s">
        <v>133</v>
      </c>
      <c r="H13" t="s">
        <v>141</v>
      </c>
      <c r="I13" s="1">
        <v>0.8125</v>
      </c>
      <c r="L13" t="str" cm="1">
        <f t="array" ref="L13">IF($G13="","",_xlfn.CONCAT("public ",$H13," ",_xlfn.CONCAT(PROPER(_xlfn.TEXTSPLIT($G13, "_")))," { get; set; }",IF(COUNTIF(J13,"*"&amp;"Hardcoded"&amp;"*"),_xlfn.CONCAT(" = ",IF($H13="string",CHAR(34),""),I13,IF($H13="string",CHAR(34),""),";"),"")))</f>
        <v>public time EindeFestivaldag { get; set; }</v>
      </c>
    </row>
    <row r="14" spans="2:16" x14ac:dyDescent="0.25">
      <c r="C14" t="s">
        <v>15</v>
      </c>
      <c r="D14" s="1">
        <v>0.5</v>
      </c>
      <c r="F14" s="5" t="s">
        <v>235</v>
      </c>
      <c r="G14" t="s">
        <v>134</v>
      </c>
      <c r="H14" t="s">
        <v>141</v>
      </c>
      <c r="I14" s="1">
        <v>0.5</v>
      </c>
      <c r="L14" t="str" cm="1">
        <f t="array" ref="L14">IF($G14="","",_xlfn.CONCAT("public ",$H14," ",_xlfn.CONCAT(PROPER(_xlfn.TEXTSPLIT($G14, "_")))," { get; set; }",IF(COUNTIF(J14,"*"&amp;"Hardcoded"&amp;"*"),_xlfn.CONCAT(" = ",IF($H14="string",CHAR(34),""),I14,IF($H14="string",CHAR(34),""),";"),"")))</f>
        <v>public time BeginPauze { get; set; }</v>
      </c>
    </row>
    <row r="15" spans="2:16" x14ac:dyDescent="0.25">
      <c r="C15" t="s">
        <v>16</v>
      </c>
      <c r="D15" s="1">
        <v>0.58333333333333337</v>
      </c>
      <c r="F15" s="5" t="s">
        <v>235</v>
      </c>
      <c r="G15" t="s">
        <v>135</v>
      </c>
      <c r="H15" t="s">
        <v>141</v>
      </c>
      <c r="I15" s="1">
        <v>0.58333333333333337</v>
      </c>
      <c r="L15" t="str" cm="1">
        <f t="array" ref="L15">IF($G15="","",_xlfn.CONCAT("public ",$H15," ",_xlfn.CONCAT(PROPER(_xlfn.TEXTSPLIT($G15, "_")))," { get; set; }",IF(COUNTIF(J15,"*"&amp;"Hardcoded"&amp;"*"),_xlfn.CONCAT(" = ",IF($H15="string",CHAR(34),""),I15,IF($H15="string",CHAR(34),""),";"),"")))</f>
        <v>public time EindePauze { get; set; }</v>
      </c>
    </row>
    <row r="16" spans="2:16" x14ac:dyDescent="0.25">
      <c r="C16" t="s">
        <v>17</v>
      </c>
      <c r="D16" s="1">
        <v>0.52083333333333337</v>
      </c>
      <c r="F16" s="5" t="s">
        <v>235</v>
      </c>
      <c r="G16" t="s">
        <v>136</v>
      </c>
      <c r="H16" t="s">
        <v>141</v>
      </c>
      <c r="I16" s="1">
        <v>0.52083333333333337</v>
      </c>
      <c r="L16" t="str" cm="1">
        <f t="array" ref="L16">IF($G16="","",_xlfn.CONCAT("public ",$H16," ",_xlfn.CONCAT(PROPER(_xlfn.TEXTSPLIT($G16, "_")))," { get; set; }",IF(COUNTIF(J16,"*"&amp;"Hardcoded"&amp;"*"),_xlfn.CONCAT(" = ",IF($H16="string",CHAR(34),""),I16,IF($H16="string",CHAR(34),""),";"),"")))</f>
        <v>public time EindeErvarenReserve { get; set; }</v>
      </c>
    </row>
    <row r="17" spans="2:12" x14ac:dyDescent="0.25">
      <c r="B17" s="5" t="s">
        <v>5</v>
      </c>
      <c r="D17" s="1"/>
      <c r="F17" s="5" t="s">
        <v>142</v>
      </c>
      <c r="J17" s="4" t="s">
        <v>143</v>
      </c>
      <c r="K17" t="s">
        <v>221</v>
      </c>
      <c r="L17" t="str" cm="1">
        <f t="array" ref="L17">IF($G17="","",_xlfn.CONCAT("public ",$H17," ",_xlfn.CONCAT(PROPER(_xlfn.TEXTSPLIT($G17, "_")))," { get; set; }",IF(COUNTIF(J17,"*"&amp;"Hardcoded"&amp;"*"),_xlfn.CONCAT(" = ",IF($H17="string",CHAR(34),""),I17,IF($H17="string",CHAR(34),""),";"),"")))</f>
        <v/>
      </c>
    </row>
    <row r="18" spans="2:12" x14ac:dyDescent="0.25">
      <c r="B18" s="5"/>
      <c r="C18" t="s">
        <v>10</v>
      </c>
      <c r="D18" s="1" t="s">
        <v>36</v>
      </c>
      <c r="F18" s="5" t="s">
        <v>235</v>
      </c>
      <c r="G18" s="1" t="s">
        <v>36</v>
      </c>
      <c r="H18" t="s">
        <v>128</v>
      </c>
      <c r="I18" s="4">
        <v>4</v>
      </c>
      <c r="L18" t="str" cm="1">
        <f t="array" ref="L18">IF($G18="","",_xlfn.CONCAT("public ",$H18," ",_xlfn.CONCAT(PROPER(_xlfn.TEXTSPLIT($G18, "_")))," { get; set; }",IF(COUNTIF(J18,"*"&amp;"Hardcoded"&amp;"*"),_xlfn.CONCAT(" = ",IF($H18="string",CHAR(34),""),I18,IF($H18="string",CHAR(34),""),";"),"")))</f>
        <v>public int Wenstijdtussenoptredens { get; set; }</v>
      </c>
    </row>
    <row r="19" spans="2:12" x14ac:dyDescent="0.25">
      <c r="B19" s="5"/>
      <c r="C19" t="s">
        <v>35</v>
      </c>
      <c r="D19">
        <v>4</v>
      </c>
      <c r="F19" s="5"/>
      <c r="L19" t="str" cm="1">
        <f t="array" ref="L19">IF($G19="","",_xlfn.CONCAT("public ",$H19," ",_xlfn.CONCAT(PROPER(_xlfn.TEXTSPLIT($G19, "_")))," { get; set; }",IF(COUNTIF(J19,"*"&amp;"Hardcoded"&amp;"*"),_xlfn.CONCAT(" = ",IF($H19="string",CHAR(34),""),I19,IF($H19="string",CHAR(34),""),";"),"")))</f>
        <v/>
      </c>
    </row>
    <row r="20" spans="2:12" x14ac:dyDescent="0.25">
      <c r="B20" s="5"/>
      <c r="C20" t="s">
        <v>10</v>
      </c>
      <c r="D20" t="s">
        <v>37</v>
      </c>
      <c r="F20" s="5" t="s">
        <v>235</v>
      </c>
      <c r="G20" t="s">
        <v>37</v>
      </c>
      <c r="H20" t="s">
        <v>128</v>
      </c>
      <c r="I20" s="4">
        <v>6</v>
      </c>
      <c r="L20" t="str" cm="1">
        <f t="array" ref="L20">IF($G20="","",_xlfn.CONCAT("public ",$H20," ",_xlfn.CONCAT(PROPER(_xlfn.TEXTSPLIT($G20, "_")))," { get; set; }",IF(COUNTIF(J20,"*"&amp;"Hardcoded"&amp;"*"),_xlfn.CONCAT(" = ",IF($H20="string",CHAR(34),""),I20,IF($H20="string",CHAR(34),""),";"),"")))</f>
        <v>public int Maxtijdtussenoptredens { get; set; }</v>
      </c>
    </row>
    <row r="21" spans="2:12" x14ac:dyDescent="0.25">
      <c r="B21" s="5"/>
      <c r="C21" t="s">
        <v>35</v>
      </c>
      <c r="D21">
        <v>6</v>
      </c>
      <c r="F21" s="5"/>
      <c r="L21" t="str" cm="1">
        <f t="array" ref="L21">IF($G21="","",_xlfn.CONCAT("public ",$H21," ",_xlfn.CONCAT(PROPER(_xlfn.TEXTSPLIT($G21, "_")))," { get; set; }",IF(COUNTIF(J21,"*"&amp;"Hardcoded"&amp;"*"),_xlfn.CONCAT(" = ",IF($H21="string",CHAR(34),""),I21,IF($H21="string",CHAR(34),""),";"),"")))</f>
        <v/>
      </c>
    </row>
    <row r="22" spans="2:12" x14ac:dyDescent="0.25">
      <c r="B22" s="5"/>
      <c r="C22" t="s">
        <v>10</v>
      </c>
      <c r="D22" t="s">
        <v>38</v>
      </c>
      <c r="F22" s="5" t="s">
        <v>235</v>
      </c>
      <c r="G22" t="s">
        <v>38</v>
      </c>
      <c r="H22" t="s">
        <v>128</v>
      </c>
      <c r="I22" s="4">
        <v>10</v>
      </c>
      <c r="L22" t="str" cm="1">
        <f t="array" ref="L22">IF($G22="","",_xlfn.CONCAT("public ",$H22," ",_xlfn.CONCAT(PROPER(_xlfn.TEXTSPLIT($G22, "_")))," { get; set; }",IF(COUNTIF(J22,"*"&amp;"Hardcoded"&amp;"*"),_xlfn.CONCAT(" = ",IF($H22="string",CHAR(34),""),I22,IF($H22="string",CHAR(34),""),";"),"")))</f>
        <v>public int Maxlengtevrijwilligerdienst { get; set; }</v>
      </c>
    </row>
    <row r="23" spans="2:12" x14ac:dyDescent="0.25">
      <c r="B23" s="5"/>
      <c r="C23" t="s">
        <v>35</v>
      </c>
      <c r="D23">
        <v>10</v>
      </c>
      <c r="F23" s="5"/>
      <c r="L23" t="str" cm="1">
        <f t="array" ref="L23">IF($G23="","",_xlfn.CONCAT("public ",$H23," ",_xlfn.CONCAT(PROPER(_xlfn.TEXTSPLIT($G23, "_")))," { get; set; }",IF(COUNTIF(J23,"*"&amp;"Hardcoded"&amp;"*"),_xlfn.CONCAT(" = ",IF($H23="string",CHAR(34),""),I23,IF($H23="string",CHAR(34),""),";"),"")))</f>
        <v/>
      </c>
    </row>
    <row r="24" spans="2:12" x14ac:dyDescent="0.25">
      <c r="B24" s="5"/>
      <c r="C24" t="s">
        <v>10</v>
      </c>
      <c r="D24" t="s">
        <v>39</v>
      </c>
      <c r="F24" s="5" t="s">
        <v>235</v>
      </c>
      <c r="G24" t="s">
        <v>39</v>
      </c>
      <c r="H24" t="s">
        <v>128</v>
      </c>
      <c r="I24" s="4">
        <v>0</v>
      </c>
      <c r="L24" t="str" cm="1">
        <f t="array" ref="L24">IF($G24="","",_xlfn.CONCAT("public ",$H24," ",_xlfn.CONCAT(PROPER(_xlfn.TEXTSPLIT($G24, "_")))," { get; set; }",IF(COUNTIF(J24,"*"&amp;"Hardcoded"&amp;"*"),_xlfn.CONCAT(" = ",IF($H24="string",CHAR(34),""),I24,IF($H24="string",CHAR(34),""),";"),"")))</f>
        <v>public int Boeteonderbrekingoptredens { get; set; }</v>
      </c>
    </row>
    <row r="25" spans="2:12" x14ac:dyDescent="0.25">
      <c r="B25" s="5"/>
      <c r="C25" t="s">
        <v>35</v>
      </c>
      <c r="D25">
        <v>0</v>
      </c>
      <c r="F25" s="5"/>
      <c r="L25" t="str" cm="1">
        <f t="array" ref="L25">IF($G25="","",_xlfn.CONCAT("public ",$H25," ",_xlfn.CONCAT(PROPER(_xlfn.TEXTSPLIT($G25, "_")))," { get; set; }",IF(COUNTIF(J25,"*"&amp;"Hardcoded"&amp;"*"),_xlfn.CONCAT(" = ",IF($H25="string",CHAR(34),""),I25,IF($H25="string",CHAR(34),""),";"),"")))</f>
        <v/>
      </c>
    </row>
    <row r="26" spans="2:12" x14ac:dyDescent="0.25">
      <c r="B26" s="5"/>
      <c r="C26" t="s">
        <v>10</v>
      </c>
      <c r="D26" t="s">
        <v>40</v>
      </c>
      <c r="F26" s="5" t="s">
        <v>235</v>
      </c>
      <c r="G26" s="4" t="s">
        <v>40</v>
      </c>
      <c r="H26" t="s">
        <v>231</v>
      </c>
      <c r="I26" s="4" t="s">
        <v>41</v>
      </c>
      <c r="J26" s="4" t="s">
        <v>140</v>
      </c>
      <c r="L26" t="str" cm="1">
        <f t="array" ref="L26">IF($G26="","",_xlfn.CONCAT("public ",$H26," ",_xlfn.CONCAT(PROPER(_xlfn.TEXTSPLIT($G26, "_")))," { get; set; }",IF(COUNTIF(J26,"*"&amp;"Hardcoded"&amp;"*"),_xlfn.CONCAT(" = ",IF($H26="string",CHAR(34),""),I26,IF($H26="string",CHAR(34),""),";"),"")))</f>
        <v>public string Taaknamenzonderoverstaptijd { get; set; } = "Vrijwilligersbalie;Garderobe";</v>
      </c>
    </row>
    <row r="27" spans="2:12" x14ac:dyDescent="0.25">
      <c r="B27" s="5"/>
      <c r="C27" t="s">
        <v>35</v>
      </c>
      <c r="D27" t="s">
        <v>41</v>
      </c>
      <c r="F27" s="5"/>
      <c r="L27" t="str" cm="1">
        <f t="array" ref="L27">IF($G27="","",_xlfn.CONCAT("public ",$H27," ",_xlfn.CONCAT(PROPER(_xlfn.TEXTSPLIT($G27, "_")))," { get; set; }",IF(COUNTIF(J27,"*"&amp;"Hardcoded"&amp;"*"),_xlfn.CONCAT(" = ",IF($H27="string",CHAR(34),""),I27,IF($H27="string",CHAR(34),""),";"),"")))</f>
        <v/>
      </c>
    </row>
    <row r="28" spans="2:12" x14ac:dyDescent="0.25">
      <c r="B28" s="5"/>
      <c r="C28" t="s">
        <v>10</v>
      </c>
      <c r="D28" t="s">
        <v>42</v>
      </c>
      <c r="F28" s="5" t="s">
        <v>235</v>
      </c>
      <c r="G28" s="4" t="s">
        <v>42</v>
      </c>
      <c r="H28" t="s">
        <v>231</v>
      </c>
      <c r="I28" s="4" t="s">
        <v>43</v>
      </c>
      <c r="J28" s="4" t="s">
        <v>140</v>
      </c>
      <c r="L28" t="str" cm="1">
        <f t="array" ref="L28">IF($G28="","",_xlfn.CONCAT("public ",$H28," ",_xlfn.CONCAT(PROPER(_xlfn.TEXTSPLIT($G28, "_")))," { get; set; }",IF(COUNTIF(J28,"*"&amp;"Hardcoded"&amp;"*"),_xlfn.CONCAT(" = ",IF($H28="string",CHAR(34),""),I28,IF($H28="string",CHAR(34),""),";"),"")))</f>
        <v>public string Reservetaaknaam { get; set; } = "Reserve voor oproep";</v>
      </c>
    </row>
    <row r="29" spans="2:12" x14ac:dyDescent="0.25">
      <c r="B29" s="5"/>
      <c r="C29" t="s">
        <v>35</v>
      </c>
      <c r="D29" t="s">
        <v>43</v>
      </c>
      <c r="F29" s="5" t="s">
        <v>235</v>
      </c>
      <c r="L29" t="str" cm="1">
        <f t="array" ref="L29">IF($G29="","",_xlfn.CONCAT("public ",$H29," ",_xlfn.CONCAT(PROPER(_xlfn.TEXTSPLIT($G29, "_")))," { get; set; }",IF(COUNTIF(J29,"*"&amp;"Hardcoded"&amp;"*"),_xlfn.CONCAT(" = ",IF($H29="string",CHAR(34),""),I29,IF($H29="string",CHAR(34),""),";"),"")))</f>
        <v/>
      </c>
    </row>
    <row r="30" spans="2:12" x14ac:dyDescent="0.25">
      <c r="B30" s="5" t="s">
        <v>44</v>
      </c>
      <c r="F30" s="5" t="s">
        <v>144</v>
      </c>
      <c r="K30" t="s">
        <v>219</v>
      </c>
      <c r="L30" t="str" cm="1">
        <f t="array" ref="L30">IF($G30="","",_xlfn.CONCAT("public ",$H30," ",_xlfn.CONCAT(PROPER(_xlfn.TEXTSPLIT($G30, "_")))," { get; set; }",IF(COUNTIF(J30,"*"&amp;"Hardcoded"&amp;"*"),_xlfn.CONCAT(" = ",IF($H30="string",CHAR(34),""),I30,IF($H30="string",CHAR(34),""),";"),"")))</f>
        <v/>
      </c>
    </row>
    <row r="31" spans="2:12" x14ac:dyDescent="0.25">
      <c r="B31" s="5"/>
      <c r="C31" t="s">
        <v>28</v>
      </c>
      <c r="D31">
        <v>2</v>
      </c>
      <c r="F31" s="5" t="s">
        <v>235</v>
      </c>
      <c r="G31" t="s">
        <v>127</v>
      </c>
      <c r="H31" t="s">
        <v>128</v>
      </c>
      <c r="I31">
        <v>2</v>
      </c>
      <c r="L31" t="str" cm="1">
        <f t="array" ref="L31">IF($G31="","",_xlfn.CONCAT("public ",$H31," ",_xlfn.CONCAT(PROPER(_xlfn.TEXTSPLIT($G31, "_")))," { get; set; }",IF(COUNTIF(J31,"*"&amp;"Hardcoded"&amp;"*"),_xlfn.CONCAT(" = ",IF($H31="string",CHAR(34),""),I31,IF($H31="string",CHAR(34),""),";"),"")))</f>
        <v>public int TypeId { get; set; }</v>
      </c>
    </row>
    <row r="32" spans="2:12" x14ac:dyDescent="0.25">
      <c r="B32" s="5"/>
      <c r="C32" t="s">
        <v>10</v>
      </c>
      <c r="D32" t="s">
        <v>45</v>
      </c>
      <c r="F32" s="5" t="s">
        <v>235</v>
      </c>
      <c r="G32" t="s">
        <v>145</v>
      </c>
      <c r="H32" t="s">
        <v>231</v>
      </c>
      <c r="I32" t="s">
        <v>45</v>
      </c>
      <c r="L32" t="str" cm="1">
        <f t="array" ref="L32">IF($G32="","",_xlfn.CONCAT("public ",$H32," ",_xlfn.CONCAT(PROPER(_xlfn.TEXTSPLIT($G32, "_")))," { get; set; }",IF(COUNTIF(J32,"*"&amp;"Hardcoded"&amp;"*"),_xlfn.CONCAT(" = ",IF($H32="string",CHAR(34),""),I32,IF($H32="string",CHAR(34),""),";"),"")))</f>
        <v>public string Type { get; set; }</v>
      </c>
    </row>
    <row r="33" spans="2:12" x14ac:dyDescent="0.25">
      <c r="B33" s="5" t="s">
        <v>46</v>
      </c>
      <c r="F33" s="5" t="s">
        <v>46</v>
      </c>
      <c r="K33" t="s">
        <v>220</v>
      </c>
      <c r="L33" t="str" cm="1">
        <f t="array" ref="L33">IF($G33="","",_xlfn.CONCAT("public ",$H33," ",_xlfn.CONCAT(PROPER(_xlfn.TEXTSPLIT($G33, "_")))," { get; set; }",IF(COUNTIF(J33,"*"&amp;"Hardcoded"&amp;"*"),_xlfn.CONCAT(" = ",IF($H33="string",CHAR(34),""),I33,IF($H33="string",CHAR(34),""),";"),"")))</f>
        <v/>
      </c>
    </row>
    <row r="34" spans="2:12" x14ac:dyDescent="0.25">
      <c r="B34" s="5"/>
      <c r="C34" t="s">
        <v>47</v>
      </c>
      <c r="D34">
        <v>1</v>
      </c>
      <c r="F34" s="5" t="s">
        <v>235</v>
      </c>
      <c r="G34" t="s">
        <v>146</v>
      </c>
      <c r="H34" t="s">
        <v>128</v>
      </c>
      <c r="I34">
        <v>1</v>
      </c>
      <c r="L34" t="str" cm="1">
        <f t="array" ref="L34">IF($G34="","",_xlfn.CONCAT("public ",$H34," ",_xlfn.CONCAT(PROPER(_xlfn.TEXTSPLIT($G34, "_")))," { get; set; }",IF(COUNTIF(J34,"*"&amp;"Hardcoded"&amp;"*"),_xlfn.CONCAT(" = ",IF($H34="string",CHAR(34),""),I34,IF($H34="string",CHAR(34),""),";"),"")))</f>
        <v>public int GenreId { get; set; }</v>
      </c>
    </row>
    <row r="35" spans="2:12" x14ac:dyDescent="0.25">
      <c r="B35" s="5"/>
      <c r="C35" t="s">
        <v>10</v>
      </c>
      <c r="D35" t="s">
        <v>48</v>
      </c>
      <c r="F35" s="5" t="s">
        <v>235</v>
      </c>
      <c r="G35" t="s">
        <v>90</v>
      </c>
      <c r="H35" t="s">
        <v>231</v>
      </c>
      <c r="I35" t="s">
        <v>48</v>
      </c>
      <c r="L35" t="str" cm="1">
        <f t="array" ref="L35">IF($G35="","",_xlfn.CONCAT("public ",$H35," ",_xlfn.CONCAT(PROPER(_xlfn.TEXTSPLIT($G35, "_")))," { get; set; }",IF(COUNTIF(J35,"*"&amp;"Hardcoded"&amp;"*"),_xlfn.CONCAT(" = ",IF($H35="string",CHAR(34),""),I35,IF($H35="string",CHAR(34),""),";"),"")))</f>
        <v>public string Nl { get; set; }</v>
      </c>
    </row>
    <row r="36" spans="2:12" x14ac:dyDescent="0.25">
      <c r="B36" s="5" t="s">
        <v>49</v>
      </c>
      <c r="F36" s="5" t="s">
        <v>49</v>
      </c>
      <c r="K36" t="s">
        <v>223</v>
      </c>
      <c r="L36" t="str" cm="1">
        <f t="array" ref="L36">IF($G36="","",_xlfn.CONCAT("public ",$H36," ",_xlfn.CONCAT(PROPER(_xlfn.TEXTSPLIT($G36, "_")))," { get; set; }",IF(COUNTIF(J36,"*"&amp;"Hardcoded"&amp;"*"),_xlfn.CONCAT(" = ",IF($H36="string",CHAR(34),""),I36,IF($H36="string",CHAR(34),""),";"),"")))</f>
        <v/>
      </c>
    </row>
    <row r="37" spans="2:12" x14ac:dyDescent="0.25">
      <c r="B37" s="5"/>
      <c r="C37" t="s">
        <v>9</v>
      </c>
      <c r="D37">
        <v>20</v>
      </c>
      <c r="F37" s="5" t="s">
        <v>235</v>
      </c>
      <c r="G37" t="s">
        <v>131</v>
      </c>
      <c r="H37" t="s">
        <v>137</v>
      </c>
      <c r="I37">
        <v>20</v>
      </c>
      <c r="L37" t="str" cm="1">
        <f t="array" ref="L37">IF($G37="","",_xlfn.CONCAT("public ",$H37," ",_xlfn.CONCAT(PROPER(_xlfn.TEXTSPLIT($G37, "_")))," { get; set; }",IF(COUNTIF(J37,"*"&amp;"Hardcoded"&amp;"*"),_xlfn.CONCAT(" = ",IF($H37="string",CHAR(34),""),I37,IF($H37="string",CHAR(34),""),";"),"")))</f>
        <v>public uint FestivalId { get; set; }</v>
      </c>
    </row>
    <row r="38" spans="2:12" x14ac:dyDescent="0.25">
      <c r="B38" s="5"/>
      <c r="C38" t="s">
        <v>19</v>
      </c>
      <c r="D38">
        <v>133</v>
      </c>
      <c r="F38" s="5" t="s">
        <v>235</v>
      </c>
      <c r="G38" t="s">
        <v>147</v>
      </c>
      <c r="H38" t="s">
        <v>137</v>
      </c>
      <c r="I38">
        <v>133</v>
      </c>
      <c r="L38" t="str" cm="1">
        <f t="array" ref="L38">IF($G38="","",_xlfn.CONCAT("public ",$H38," ",_xlfn.CONCAT(PROPER(_xlfn.TEXTSPLIT($G38, "_")))," { get; set; }",IF(COUNTIF(J38,"*"&amp;"Hardcoded"&amp;"*"),_xlfn.CONCAT(" = ",IF($H38="string",CHAR(34),""),I38,IF($H38="string",CHAR(34),""),";"),"")))</f>
        <v>public uint ZanggroepId { get; set; }</v>
      </c>
    </row>
    <row r="39" spans="2:12" x14ac:dyDescent="0.25">
      <c r="B39" s="5"/>
      <c r="C39" t="s">
        <v>50</v>
      </c>
      <c r="D39" t="s">
        <v>64</v>
      </c>
      <c r="F39" s="5" t="s">
        <v>235</v>
      </c>
      <c r="G39" t="s">
        <v>148</v>
      </c>
      <c r="H39" t="s">
        <v>231</v>
      </c>
      <c r="I39" t="s">
        <v>64</v>
      </c>
      <c r="L39" t="str" cm="1">
        <f t="array" ref="L39">IF($G39="","",_xlfn.CONCAT("public ",$H39," ",_xlfn.CONCAT(PROPER(_xlfn.TEXTSPLIT($G39, "_")))," { get; set; }",IF(COUNTIF(J39,"*"&amp;"Hardcoded"&amp;"*"),_xlfn.CONCAT(" = ",IF($H39="string",CHAR(34),""),I39,IF($H39="string",CHAR(34),""),";"),"")))</f>
        <v>public string Wens1 { get; set; }</v>
      </c>
    </row>
    <row r="40" spans="2:12" x14ac:dyDescent="0.25">
      <c r="B40" s="5"/>
      <c r="C40" t="s">
        <v>51</v>
      </c>
      <c r="D40" t="s">
        <v>64</v>
      </c>
      <c r="F40" s="5" t="s">
        <v>235</v>
      </c>
      <c r="G40" t="s">
        <v>149</v>
      </c>
      <c r="H40" t="s">
        <v>231</v>
      </c>
      <c r="I40" t="s">
        <v>64</v>
      </c>
      <c r="L40" t="str" cm="1">
        <f t="array" ref="L40">IF($G40="","",_xlfn.CONCAT("public ",$H40," ",_xlfn.CONCAT(PROPER(_xlfn.TEXTSPLIT($G40, "_")))," { get; set; }",IF(COUNTIF(J40,"*"&amp;"Hardcoded"&amp;"*"),_xlfn.CONCAT(" = ",IF($H40="string",CHAR(34),""),I40,IF($H40="string",CHAR(34),""),";"),"")))</f>
        <v>public string Wens2 { get; set; }</v>
      </c>
    </row>
    <row r="41" spans="2:12" x14ac:dyDescent="0.25">
      <c r="B41" s="5"/>
      <c r="C41" t="s">
        <v>52</v>
      </c>
      <c r="D41" t="s">
        <v>64</v>
      </c>
      <c r="F41" s="5" t="s">
        <v>235</v>
      </c>
      <c r="G41" t="s">
        <v>150</v>
      </c>
      <c r="H41" t="s">
        <v>231</v>
      </c>
      <c r="I41" t="s">
        <v>64</v>
      </c>
      <c r="L41" t="str" cm="1">
        <f t="array" ref="L41">IF($G41="","",_xlfn.CONCAT("public ",$H41," ",_xlfn.CONCAT(PROPER(_xlfn.TEXTSPLIT($G41, "_")))," { get; set; }",IF(COUNTIF(J41,"*"&amp;"Hardcoded"&amp;"*"),_xlfn.CONCAT(" = ",IF($H41="string",CHAR(34),""),I41,IF($H41="string",CHAR(34),""),";"),"")))</f>
        <v>public string Wens3 { get; set; }</v>
      </c>
    </row>
    <row r="42" spans="2:12" x14ac:dyDescent="0.25">
      <c r="B42" s="5"/>
      <c r="C42" t="s">
        <v>53</v>
      </c>
      <c r="D42" t="s">
        <v>64</v>
      </c>
      <c r="F42" s="5" t="s">
        <v>235</v>
      </c>
      <c r="G42" t="s">
        <v>151</v>
      </c>
      <c r="H42" t="s">
        <v>231</v>
      </c>
      <c r="I42" t="s">
        <v>64</v>
      </c>
      <c r="L42" t="str" cm="1">
        <f t="array" ref="L42">IF($G42="","",_xlfn.CONCAT("public ",$H42," ",_xlfn.CONCAT(PROPER(_xlfn.TEXTSPLIT($G42, "_")))," { get; set; }",IF(COUNTIF(J42,"*"&amp;"Hardcoded"&amp;"*"),_xlfn.CONCAT(" = ",IF($H42="string",CHAR(34),""),I42,IF($H42="string",CHAR(34),""),";"),"")))</f>
        <v>public string Wens4 { get; set; }</v>
      </c>
    </row>
    <row r="43" spans="2:12" x14ac:dyDescent="0.25">
      <c r="B43" s="5"/>
      <c r="C43" t="s">
        <v>54</v>
      </c>
      <c r="D43">
        <v>50</v>
      </c>
      <c r="F43" s="5" t="s">
        <v>235</v>
      </c>
      <c r="G43" t="s">
        <v>152</v>
      </c>
      <c r="H43" t="s">
        <v>137</v>
      </c>
      <c r="I43">
        <v>50</v>
      </c>
      <c r="L43" t="str" cm="1">
        <f t="array" ref="L43">IF($G43="","",_xlfn.CONCAT("public ",$H43," ",_xlfn.CONCAT(PROPER(_xlfn.TEXTSPLIT($G43, "_")))," { get; set; }",IF(COUNTIF(J43,"*"&amp;"Hardcoded"&amp;"*"),_xlfn.CONCAT(" = ",IF($H43="string",CHAR(34),""),I43,IF($H43="string",CHAR(34),""),";"),"")))</f>
        <v>public uint AantalDeelnemers { get; set; }</v>
      </c>
    </row>
    <row r="44" spans="2:12" x14ac:dyDescent="0.25">
      <c r="B44" s="5"/>
      <c r="C44" t="s">
        <v>55</v>
      </c>
      <c r="D44" t="s">
        <v>65</v>
      </c>
      <c r="F44" s="5" t="s">
        <v>235</v>
      </c>
      <c r="G44" t="s">
        <v>153</v>
      </c>
      <c r="H44" t="s">
        <v>231</v>
      </c>
      <c r="I44" t="s">
        <v>65</v>
      </c>
      <c r="L44" t="str" cm="1">
        <f t="array" ref="L44">IF($G44="","",_xlfn.CONCAT("public ",$H44," ",_xlfn.CONCAT(PROPER(_xlfn.TEXTSPLIT($G44, "_")))," { get; set; }",IF(COUNTIF(J44,"*"&amp;"Hardcoded"&amp;"*"),_xlfn.CONCAT(" = ",IF($H44="string",CHAR(34),""),I44,IF($H44="string",CHAR(34),""),";"),"")))</f>
        <v>public string Podiumsoort { get; set; }</v>
      </c>
    </row>
    <row r="45" spans="2:12" x14ac:dyDescent="0.25">
      <c r="B45" s="5"/>
      <c r="C45" t="s">
        <v>56</v>
      </c>
      <c r="D45">
        <v>0</v>
      </c>
      <c r="F45" s="5" t="s">
        <v>235</v>
      </c>
      <c r="G45" t="s">
        <v>154</v>
      </c>
      <c r="H45" t="s">
        <v>128</v>
      </c>
      <c r="I45">
        <v>0</v>
      </c>
      <c r="L45" t="str" cm="1">
        <f t="array" ref="L45">IF($G45="","",_xlfn.CONCAT("public ",$H45," ",_xlfn.CONCAT(PROPER(_xlfn.TEXTSPLIT($G45, "_")))," { get; set; }",IF(COUNTIF(J45,"*"&amp;"Hardcoded"&amp;"*"),_xlfn.CONCAT(" = ",IF($H45="string",CHAR(34),""),I45,IF($H45="string",CHAR(34),""),";"),"")))</f>
        <v>public int PodiumkeuzeGeforceerd { get; set; }</v>
      </c>
    </row>
    <row r="46" spans="2:12" x14ac:dyDescent="0.25">
      <c r="B46" s="5"/>
      <c r="C46" t="s">
        <v>57</v>
      </c>
      <c r="D46" s="6">
        <v>45551.822002314817</v>
      </c>
      <c r="F46" s="5" t="s">
        <v>235</v>
      </c>
      <c r="G46" t="s">
        <v>155</v>
      </c>
      <c r="H46" t="s">
        <v>162</v>
      </c>
      <c r="I46" s="6">
        <v>45551.822002314817</v>
      </c>
      <c r="L46" t="str" cm="1">
        <f t="array" ref="L46">IF($G46="","",_xlfn.CONCAT("public ",$H46," ",_xlfn.CONCAT(PROPER(_xlfn.TEXTSPLIT($G46, "_")))," { get; set; }",IF(COUNTIF(J46,"*"&amp;"Hardcoded"&amp;"*"),_xlfn.CONCAT(" = ",IF($H46="string",CHAR(34),""),I46,IF($H46="string",CHAR(34),""),";"),"")))</f>
        <v>public datetime Ingeschreven { get; set; }</v>
      </c>
    </row>
    <row r="47" spans="2:12" x14ac:dyDescent="0.25">
      <c r="B47" s="5"/>
      <c r="C47" t="s">
        <v>58</v>
      </c>
      <c r="D47" s="7">
        <v>0.41666666666666669</v>
      </c>
      <c r="F47" s="5" t="s">
        <v>235</v>
      </c>
      <c r="G47" t="s">
        <v>156</v>
      </c>
      <c r="H47" t="s">
        <v>232</v>
      </c>
      <c r="I47" s="7">
        <v>0.41666666666666669</v>
      </c>
      <c r="L47" t="str" cm="1">
        <f t="array" ref="L47">IF($G47="","",_xlfn.CONCAT("public ",$H47," ",_xlfn.CONCAT(PROPER(_xlfn.TEXTSPLIT($G47, "_")))," { get; set; }",IF(COUNTIF(J47,"*"&amp;"Hardcoded"&amp;"*"),_xlfn.CONCAT(" = ",IF($H47="string",CHAR(34),""),I47,IF($H47="string",CHAR(34),""),";"),"")))</f>
        <v>public timeonly BeschikbaarVan { get; set; }</v>
      </c>
    </row>
    <row r="48" spans="2:12" x14ac:dyDescent="0.25">
      <c r="B48" s="5"/>
      <c r="C48" t="s">
        <v>59</v>
      </c>
      <c r="D48" s="7">
        <v>0.70833333333333337</v>
      </c>
      <c r="F48" s="5" t="s">
        <v>235</v>
      </c>
      <c r="G48" t="s">
        <v>157</v>
      </c>
      <c r="H48" t="s">
        <v>232</v>
      </c>
      <c r="I48" s="7">
        <v>0.70833333333333337</v>
      </c>
      <c r="L48" t="str" cm="1">
        <f t="array" ref="L48">IF($G48="","",_xlfn.CONCAT("public ",$H48," ",_xlfn.CONCAT(PROPER(_xlfn.TEXTSPLIT($G48, "_")))," { get; set; }",IF(COUNTIF(J48,"*"&amp;"Hardcoded"&amp;"*"),_xlfn.CONCAT(" = ",IF($H48="string",CHAR(34),""),I48,IF($H48="string",CHAR(34),""),";"),"")))</f>
        <v>public timeonly BeschikbaarTot { get; set; }</v>
      </c>
    </row>
    <row r="49" spans="2:12" x14ac:dyDescent="0.25">
      <c r="B49" s="5"/>
      <c r="C49" t="s">
        <v>60</v>
      </c>
      <c r="D49">
        <v>0</v>
      </c>
      <c r="F49" s="5" t="s">
        <v>235</v>
      </c>
      <c r="G49" t="s">
        <v>158</v>
      </c>
      <c r="H49" t="s">
        <v>137</v>
      </c>
      <c r="I49">
        <v>0</v>
      </c>
      <c r="L49" t="str" cm="1">
        <f t="array" ref="L49">IF($G49="","",_xlfn.CONCAT("public ",$H49," ",_xlfn.CONCAT(PROPER(_xlfn.TEXTSPLIT($G49, "_")))," { get; set; }",IF(COUNTIF(J49,"*"&amp;"Hardcoded"&amp;"*"),_xlfn.CONCAT(" = ",IF($H49="string",CHAR(34),""),I49,IF($H49="string",CHAR(34),""),";"),"")))</f>
        <v>public uint Wachtlijst { get; set; }</v>
      </c>
    </row>
    <row r="50" spans="2:12" x14ac:dyDescent="0.25">
      <c r="B50" s="5"/>
      <c r="C50" t="s">
        <v>61</v>
      </c>
      <c r="D50">
        <v>0</v>
      </c>
      <c r="F50" s="5" t="s">
        <v>235</v>
      </c>
      <c r="G50" t="s">
        <v>159</v>
      </c>
      <c r="H50" t="s">
        <v>137</v>
      </c>
      <c r="I50">
        <v>0</v>
      </c>
      <c r="L50" t="str" cm="1">
        <f t="array" ref="L50">IF($G50="","",_xlfn.CONCAT("public ",$H50," ",_xlfn.CONCAT(PROPER(_xlfn.TEXTSPLIT($G50, "_")))," { get; set; }",IF(COUNTIF(J50,"*"&amp;"Hardcoded"&amp;"*"),_xlfn.CONCAT(" = ",IF($H50="string",CHAR(34),""),I50,IF($H50="string",CHAR(34),""),";"),"")))</f>
        <v>public uint Binnenoptredens { get; set; }</v>
      </c>
    </row>
    <row r="51" spans="2:12" x14ac:dyDescent="0.25">
      <c r="B51" s="5"/>
      <c r="C51" t="s">
        <v>62</v>
      </c>
      <c r="D51">
        <v>2</v>
      </c>
      <c r="F51" s="5" t="s">
        <v>235</v>
      </c>
      <c r="G51" t="s">
        <v>160</v>
      </c>
      <c r="H51" t="s">
        <v>137</v>
      </c>
      <c r="I51">
        <v>2</v>
      </c>
      <c r="L51" t="str" cm="1">
        <f t="array" ref="L51">IF($G51="","",_xlfn.CONCAT("public ",$H51," ",_xlfn.CONCAT(PROPER(_xlfn.TEXTSPLIT($G51, "_")))," { get; set; }",IF(COUNTIF(J51,"*"&amp;"Hardcoded"&amp;"*"),_xlfn.CONCAT(" = ",IF($H51="string",CHAR(34),""),I51,IF($H51="string",CHAR(34),""),";"),"")))</f>
        <v>public uint Buitenoptredens { get; set; }</v>
      </c>
    </row>
    <row r="52" spans="2:12" x14ac:dyDescent="0.25">
      <c r="B52" s="5"/>
      <c r="C52" t="s">
        <v>63</v>
      </c>
      <c r="D52" s="6">
        <v>45751.661481481482</v>
      </c>
      <c r="F52" s="5" t="s">
        <v>235</v>
      </c>
      <c r="G52" t="s">
        <v>161</v>
      </c>
      <c r="H52" t="s">
        <v>162</v>
      </c>
      <c r="I52" s="6">
        <v>45751.661481481482</v>
      </c>
      <c r="L52" t="str" cm="1">
        <f t="array" ref="L52">IF($G52="","",_xlfn.CONCAT("public ",$H52," ",_xlfn.CONCAT(PROPER(_xlfn.TEXTSPLIT($G52, "_")))," { get; set; }",IF(COUNTIF(J52,"*"&amp;"Hardcoded"&amp;"*"),_xlfn.CONCAT(" = ",IF($H52="string",CHAR(34),""),I52,IF($H52="string",CHAR(34),""),";"),"")))</f>
        <v>public datetime Bevestigd { get; set; }</v>
      </c>
    </row>
    <row r="53" spans="2:12" x14ac:dyDescent="0.25">
      <c r="B53" s="5" t="s">
        <v>66</v>
      </c>
      <c r="F53" s="5" t="s">
        <v>66</v>
      </c>
      <c r="K53" t="s">
        <v>224</v>
      </c>
      <c r="L53" t="str" cm="1">
        <f t="array" ref="L53">IF($G53="","",_xlfn.CONCAT("public ",$H53," ",_xlfn.CONCAT(PROPER(_xlfn.TEXTSPLIT($G53, "_")))," { get; set; }",IF(COUNTIF(J53,"*"&amp;"Hardcoded"&amp;"*"),_xlfn.CONCAT(" = ",IF($H53="string",CHAR(34),""),I53,IF($H53="string",CHAR(34),""),";"),"")))</f>
        <v/>
      </c>
    </row>
    <row r="54" spans="2:12" x14ac:dyDescent="0.25">
      <c r="B54" s="5"/>
      <c r="C54" t="s">
        <v>67</v>
      </c>
      <c r="D54">
        <v>454</v>
      </c>
      <c r="F54" s="5" t="s">
        <v>235</v>
      </c>
      <c r="G54" t="s">
        <v>163</v>
      </c>
      <c r="H54" t="s">
        <v>137</v>
      </c>
      <c r="I54">
        <v>454</v>
      </c>
      <c r="L54" t="str" cm="1">
        <f t="array" ref="L54">IF($G54="","",_xlfn.CONCAT("public ",$H54," ",_xlfn.CONCAT(PROPER(_xlfn.TEXTSPLIT($G54, "_")))," { get; set; }",IF(COUNTIF(J54,"*"&amp;"Hardcoded"&amp;"*"),_xlfn.CONCAT(" = ",IF($H54="string",CHAR(34),""),I54,IF($H54="string",CHAR(34),""),";"),"")))</f>
        <v>public uint PersoonId { get; set; }</v>
      </c>
    </row>
    <row r="55" spans="2:12" x14ac:dyDescent="0.25">
      <c r="B55" s="5"/>
      <c r="C55" t="s">
        <v>19</v>
      </c>
      <c r="D55">
        <v>132</v>
      </c>
      <c r="F55" s="5" t="s">
        <v>235</v>
      </c>
      <c r="G55" t="s">
        <v>147</v>
      </c>
      <c r="H55" t="s">
        <v>128</v>
      </c>
      <c r="I55">
        <v>132</v>
      </c>
      <c r="L55" t="str" cm="1">
        <f t="array" ref="L55">IF($G55="","",_xlfn.CONCAT("public ",$H55," ",_xlfn.CONCAT(PROPER(_xlfn.TEXTSPLIT($G55, "_")))," { get; set; }",IF(COUNTIF(J55,"*"&amp;"Hardcoded"&amp;"*"),_xlfn.CONCAT(" = ",IF($H55="string",CHAR(34),""),I55,IF($H55="string",CHAR(34),""),";"),"")))</f>
        <v>public int ZanggroepId { get; set; }</v>
      </c>
    </row>
    <row r="56" spans="2:12" x14ac:dyDescent="0.25">
      <c r="B56" s="5"/>
      <c r="C56" t="s">
        <v>68</v>
      </c>
      <c r="D56" t="s">
        <v>69</v>
      </c>
      <c r="F56" s="5" t="s">
        <v>235</v>
      </c>
      <c r="G56" t="s">
        <v>164</v>
      </c>
      <c r="H56" t="s">
        <v>231</v>
      </c>
      <c r="I56" t="s">
        <v>69</v>
      </c>
      <c r="L56" t="str" cm="1">
        <f t="array" ref="L56">IF($G56="","",_xlfn.CONCAT("public ",$H56," ",_xlfn.CONCAT(PROPER(_xlfn.TEXTSPLIT($G56, "_")))," { get; set; }",IF(COUNTIF(J56,"*"&amp;"Hardcoded"&amp;"*"),_xlfn.CONCAT(" = ",IF($H56="string",CHAR(34),""),I56,IF($H56="string",CHAR(34),""),";"),"")))</f>
        <v>public string Rol { get; set; }</v>
      </c>
    </row>
    <row r="57" spans="2:12" x14ac:dyDescent="0.25">
      <c r="B57" s="5" t="s">
        <v>73</v>
      </c>
      <c r="F57" s="5" t="s">
        <v>73</v>
      </c>
      <c r="K57" t="s">
        <v>236</v>
      </c>
      <c r="L57" t="str" cm="1">
        <f t="array" ref="L57">IF($G57="","",_xlfn.CONCAT("public ",$H57," ",_xlfn.CONCAT(PROPER(_xlfn.TEXTSPLIT($G57, "_")))," { get; set; }",IF(COUNTIF(J57,"*"&amp;"Hardcoded"&amp;"*"),_xlfn.CONCAT(" = ",IF($H57="string",CHAR(34),""),I57,IF($H57="string",CHAR(34),""),";"),"")))</f>
        <v/>
      </c>
    </row>
    <row r="58" spans="2:12" x14ac:dyDescent="0.25">
      <c r="B58" s="5"/>
      <c r="C58" t="s">
        <v>67</v>
      </c>
      <c r="D58">
        <v>6379</v>
      </c>
      <c r="F58" s="5" t="s">
        <v>235</v>
      </c>
      <c r="G58" t="s">
        <v>163</v>
      </c>
      <c r="H58" t="s">
        <v>137</v>
      </c>
      <c r="I58">
        <v>6379</v>
      </c>
      <c r="L58" t="str" cm="1">
        <f t="array" ref="L58">IF($G58="","",_xlfn.CONCAT("public ",$H58," ",_xlfn.CONCAT(PROPER(_xlfn.TEXTSPLIT($G58, "_")))," { get; set; }",IF(COUNTIF(J58,"*"&amp;"Hardcoded"&amp;"*"),_xlfn.CONCAT(" = ",IF($H58="string",CHAR(34),""),I58,IF($H58="string",CHAR(34),""),";"),"")))</f>
        <v>public uint PersoonId { get; set; }</v>
      </c>
    </row>
    <row r="59" spans="2:12" x14ac:dyDescent="0.25">
      <c r="B59" s="5"/>
      <c r="C59" t="s">
        <v>165</v>
      </c>
      <c r="D59" t="s">
        <v>71</v>
      </c>
      <c r="F59" s="5" t="s">
        <v>235</v>
      </c>
      <c r="G59" t="s">
        <v>167</v>
      </c>
      <c r="H59" t="s">
        <v>231</v>
      </c>
      <c r="I59" t="s">
        <v>71</v>
      </c>
      <c r="L59" t="str" cm="1">
        <f t="array" ref="L59">IF($G59="","",_xlfn.CONCAT("public ",$H59," ",_xlfn.CONCAT(PROPER(_xlfn.TEXTSPLIT($G59, "_")))," { get; set; }",IF(COUNTIF(J59,"*"&amp;"Hardcoded"&amp;"*"),_xlfn.CONCAT(" = ",IF($H59="string",CHAR(34),""),I59,IF($H59="string",CHAR(34),""),";"),"")))</f>
        <v>public string Voornaam { get; set; }</v>
      </c>
    </row>
    <row r="60" spans="2:12" x14ac:dyDescent="0.25">
      <c r="C60" t="s">
        <v>166</v>
      </c>
      <c r="F60" s="5" t="s">
        <v>235</v>
      </c>
      <c r="G60" t="s">
        <v>168</v>
      </c>
      <c r="H60" t="s">
        <v>231</v>
      </c>
      <c r="L60" t="str" cm="1">
        <f t="array" ref="L60">IF($G60="","",_xlfn.CONCAT("public ",$H60," ",_xlfn.CONCAT(PROPER(_xlfn.TEXTSPLIT($G60, "_")))," { get; set; }",IF(COUNTIF(J60,"*"&amp;"Hardcoded"&amp;"*"),_xlfn.CONCAT(" = ",IF($H60="string",CHAR(34),""),I60,IF($H60="string",CHAR(34),""),";"),"")))</f>
        <v>public string Tussenvoegsel { get; set; }</v>
      </c>
    </row>
    <row r="61" spans="2:12" x14ac:dyDescent="0.25">
      <c r="C61" t="s">
        <v>70</v>
      </c>
      <c r="D61" t="s">
        <v>72</v>
      </c>
      <c r="F61" s="5" t="s">
        <v>235</v>
      </c>
      <c r="G61" t="s">
        <v>169</v>
      </c>
      <c r="H61" t="s">
        <v>231</v>
      </c>
      <c r="I61" t="s">
        <v>72</v>
      </c>
      <c r="L61" t="str" cm="1">
        <f t="array" ref="L61">IF($G61="","",_xlfn.CONCAT("public ",$H61," ",_xlfn.CONCAT(PROPER(_xlfn.TEXTSPLIT($G61, "_")))," { get; set; }",IF(COUNTIF(J61,"*"&amp;"Hardcoded"&amp;"*"),_xlfn.CONCAT(" = ",IF($H61="string",CHAR(34),""),I61,IF($H61="string",CHAR(34),""),";"),"")))</f>
        <v>public string Achternaam { get; set; }</v>
      </c>
    </row>
    <row r="62" spans="2:12" x14ac:dyDescent="0.25">
      <c r="B62" s="5" t="s">
        <v>2</v>
      </c>
      <c r="F62" s="5" t="s">
        <v>2</v>
      </c>
      <c r="K62" t="s">
        <v>225</v>
      </c>
      <c r="L62" t="str" cm="1">
        <f t="array" ref="L62">IF($G62="","",_xlfn.CONCAT("public ",$H62," ",_xlfn.CONCAT(PROPER(_xlfn.TEXTSPLIT($G62, "_")))," { get; set; }",IF(COUNTIF(J62,"*"&amp;"Hardcoded"&amp;"*"),_xlfn.CONCAT(" = ",IF($H62="string",CHAR(34),""),I62,IF($H62="string",CHAR(34),""),";"),"")))</f>
        <v/>
      </c>
    </row>
    <row r="63" spans="2:12" x14ac:dyDescent="0.25">
      <c r="B63" s="5"/>
      <c r="C63" t="s">
        <v>20</v>
      </c>
      <c r="D63">
        <v>2</v>
      </c>
      <c r="F63" s="5" t="s">
        <v>235</v>
      </c>
      <c r="G63" t="s">
        <v>170</v>
      </c>
      <c r="H63" t="s">
        <v>137</v>
      </c>
      <c r="I63">
        <v>2</v>
      </c>
      <c r="L63" t="str" cm="1">
        <f t="array" ref="L63">IF($G63="","",_xlfn.CONCAT("public ",$H63," ",_xlfn.CONCAT(PROPER(_xlfn.TEXTSPLIT($G63, "_")))," { get; set; }",IF(COUNTIF(J63,"*"&amp;"Hardcoded"&amp;"*"),_xlfn.CONCAT(" = ",IF($H63="string",CHAR(34),""),I63,IF($H63="string",CHAR(34),""),";"),"")))</f>
        <v>public uint PodiumId { get; set; }</v>
      </c>
    </row>
    <row r="64" spans="2:12" x14ac:dyDescent="0.25">
      <c r="B64" s="5"/>
      <c r="C64" t="s">
        <v>10</v>
      </c>
      <c r="D64" t="s">
        <v>84</v>
      </c>
      <c r="F64" s="5" t="s">
        <v>235</v>
      </c>
      <c r="G64" t="s">
        <v>6</v>
      </c>
      <c r="H64" t="s">
        <v>231</v>
      </c>
      <c r="I64" t="s">
        <v>84</v>
      </c>
      <c r="L64" t="str" cm="1">
        <f t="array" ref="L64">IF($G64="","",_xlfn.CONCAT("public ",$H64," ",_xlfn.CONCAT(PROPER(_xlfn.TEXTSPLIT($G64, "_")))," { get; set; }",IF(COUNTIF(J64,"*"&amp;"Hardcoded"&amp;"*"),_xlfn.CONCAT(" = ",IF($H64="string",CHAR(34),""),I64,IF($H64="string",CHAR(34),""),";"),"")))</f>
        <v>public string Naam { get; set; }</v>
      </c>
    </row>
    <row r="65" spans="2:12" x14ac:dyDescent="0.25">
      <c r="B65" s="5"/>
      <c r="C65" t="s">
        <v>74</v>
      </c>
      <c r="D65" t="s">
        <v>85</v>
      </c>
      <c r="F65" s="5" t="s">
        <v>235</v>
      </c>
      <c r="G65" t="s">
        <v>171</v>
      </c>
      <c r="H65" t="s">
        <v>231</v>
      </c>
      <c r="I65" t="s">
        <v>85</v>
      </c>
      <c r="L65" t="str" cm="1">
        <f t="array" ref="L65">IF($G65="","",_xlfn.CONCAT("public ",$H65," ",_xlfn.CONCAT(PROPER(_xlfn.TEXTSPLIT($G65, "_")))," { get; set; }",IF(COUNTIF(J65,"*"&amp;"Hardcoded"&amp;"*"),_xlfn.CONCAT(" = ",IF($H65="string",CHAR(34),""),I65,IF($H65="string",CHAR(34),""),";"),"")))</f>
        <v>public string Soort { get; set; }</v>
      </c>
    </row>
    <row r="66" spans="2:12" x14ac:dyDescent="0.25">
      <c r="B66" s="5"/>
      <c r="C66" t="s">
        <v>75</v>
      </c>
      <c r="D66" t="s">
        <v>65</v>
      </c>
      <c r="F66" s="5" t="s">
        <v>235</v>
      </c>
      <c r="G66" t="s">
        <v>145</v>
      </c>
      <c r="H66" t="s">
        <v>231</v>
      </c>
      <c r="I66" t="s">
        <v>65</v>
      </c>
      <c r="L66" t="str" cm="1">
        <f t="array" ref="L66">IF($G66="","",_xlfn.CONCAT("public ",$H66," ",_xlfn.CONCAT(PROPER(_xlfn.TEXTSPLIT($G66, "_")))," { get; set; }",IF(COUNTIF(J66,"*"&amp;"Hardcoded"&amp;"*"),_xlfn.CONCAT(" = ",IF($H66="string",CHAR(34),""),I66,IF($H66="string",CHAR(34),""),";"),"")))</f>
        <v>public string Type { get; set; }</v>
      </c>
    </row>
    <row r="67" spans="2:12" x14ac:dyDescent="0.25">
      <c r="B67" s="5"/>
      <c r="C67" t="s">
        <v>76</v>
      </c>
      <c r="D67">
        <v>10</v>
      </c>
      <c r="F67" s="5" t="s">
        <v>235</v>
      </c>
      <c r="G67" t="s">
        <v>172</v>
      </c>
      <c r="H67" t="s">
        <v>137</v>
      </c>
      <c r="I67">
        <v>10</v>
      </c>
      <c r="L67" t="str" cm="1">
        <f t="array" ref="L67">IF($G67="","",_xlfn.CONCAT("public ",$H67," ",_xlfn.CONCAT(PROPER(_xlfn.TEXTSPLIT($G67, "_")))," { get; set; }",IF(COUNTIF(J67,"*"&amp;"Hardcoded"&amp;"*"),_xlfn.CONCAT(" = ",IF($H67="string",CHAR(34),""),I67,IF($H67="string",CHAR(34),""),";"),"")))</f>
        <v>public uint Kwaliteit { get; set; }</v>
      </c>
    </row>
    <row r="68" spans="2:12" x14ac:dyDescent="0.25">
      <c r="B68" s="5"/>
      <c r="C68" t="s">
        <v>77</v>
      </c>
      <c r="D68">
        <v>80</v>
      </c>
      <c r="F68" s="5" t="s">
        <v>235</v>
      </c>
      <c r="G68" t="s">
        <v>173</v>
      </c>
      <c r="H68" t="s">
        <v>137</v>
      </c>
      <c r="I68">
        <v>80</v>
      </c>
      <c r="L68" t="str" cm="1">
        <f t="array" ref="L68">IF($G68="","",_xlfn.CONCAT("public ",$H68," ",_xlfn.CONCAT(PROPER(_xlfn.TEXTSPLIT($G68, "_")))," { get; set; }",IF(COUNTIF(J68,"*"&amp;"Hardcoded"&amp;"*"),_xlfn.CONCAT(" = ",IF($H68="string",CHAR(34),""),I68,IF($H68="string",CHAR(34),""),";"),"")))</f>
        <v>public uint MaxZangers { get; set; }</v>
      </c>
    </row>
    <row r="69" spans="2:12" x14ac:dyDescent="0.25">
      <c r="B69" s="5"/>
      <c r="C69" t="s">
        <v>78</v>
      </c>
      <c r="D69">
        <v>3</v>
      </c>
      <c r="F69" s="5" t="s">
        <v>235</v>
      </c>
      <c r="G69" t="s">
        <v>174</v>
      </c>
      <c r="H69" t="s">
        <v>231</v>
      </c>
      <c r="I69">
        <v>3</v>
      </c>
      <c r="L69" t="str" cm="1">
        <f t="array" ref="L69">IF($G69="","",_xlfn.CONCAT("public ",$H69," ",_xlfn.CONCAT(PROPER(_xlfn.TEXTSPLIT($G69, "_")))," { get; set; }",IF(COUNTIF(J69,"*"&amp;"Hardcoded"&amp;"*"),_xlfn.CONCAT(" = ",IF($H69="string",CHAR(34),""),I69,IF($H69="string",CHAR(34),""),";"),"")))</f>
        <v>public string AantalVrijwilligers { get; set; }</v>
      </c>
    </row>
    <row r="70" spans="2:12" x14ac:dyDescent="0.25">
      <c r="B70" s="5"/>
      <c r="C70" t="s">
        <v>79</v>
      </c>
      <c r="D70" s="7">
        <v>0.45833333333333331</v>
      </c>
      <c r="F70" s="5" t="s">
        <v>235</v>
      </c>
      <c r="G70" t="s">
        <v>175</v>
      </c>
      <c r="H70" t="s">
        <v>232</v>
      </c>
      <c r="I70" s="7">
        <v>0.45833333333333331</v>
      </c>
      <c r="L70" t="str" cm="1">
        <f t="array" ref="L70">IF($G70="","",_xlfn.CONCAT("public ",$H70," ",_xlfn.CONCAT(PROPER(_xlfn.TEXTSPLIT($G70, "_")))," { get; set; }",IF(COUNTIF(J70,"*"&amp;"Hardcoded"&amp;"*"),_xlfn.CONCAT(" = ",IF($H70="string",CHAR(34),""),I70,IF($H70="string",CHAR(34),""),";"),"")))</f>
        <v>public timeonly Opening { get; set; }</v>
      </c>
    </row>
    <row r="71" spans="2:12" x14ac:dyDescent="0.25">
      <c r="B71" s="5"/>
      <c r="C71" t="s">
        <v>80</v>
      </c>
      <c r="D71" s="7">
        <v>0.70833333333333337</v>
      </c>
      <c r="F71" s="5" t="s">
        <v>235</v>
      </c>
      <c r="G71" t="s">
        <v>176</v>
      </c>
      <c r="H71" t="s">
        <v>232</v>
      </c>
      <c r="I71" s="7">
        <v>0.70833333333333337</v>
      </c>
      <c r="L71" t="str" cm="1">
        <f t="array" ref="L71">IF($G71="","",_xlfn.CONCAT("public ",$H71," ",_xlfn.CONCAT(PROPER(_xlfn.TEXTSPLIT($G71, "_")))," { get; set; }",IF(COUNTIF(J71,"*"&amp;"Hardcoded"&amp;"*"),_xlfn.CONCAT(" = ",IF($H71="string",CHAR(34),""),I71,IF($H71="string",CHAR(34),""),";"),"")))</f>
        <v>public timeonly Sluiting { get; set; }</v>
      </c>
    </row>
    <row r="72" spans="2:12" x14ac:dyDescent="0.25">
      <c r="B72" s="5"/>
      <c r="C72" t="s">
        <v>81</v>
      </c>
      <c r="D72" s="7">
        <v>0.45833333333333331</v>
      </c>
      <c r="F72" s="5" t="s">
        <v>235</v>
      </c>
      <c r="G72" t="s">
        <v>177</v>
      </c>
      <c r="H72" t="s">
        <v>232</v>
      </c>
      <c r="I72" s="7">
        <v>0.45833333333333331</v>
      </c>
      <c r="L72" t="str" cm="1">
        <f t="array" ref="L72">IF($G72="","",_xlfn.CONCAT("public ",$H72," ",_xlfn.CONCAT(PROPER(_xlfn.TEXTSPLIT($G72, "_")))," { get; set; }",IF(COUNTIF(J72,"*"&amp;"Hardcoded"&amp;"*"),_xlfn.CONCAT(" = ",IF($H72="string",CHAR(34),""),I72,IF($H72="string",CHAR(34),""),";"),"")))</f>
        <v>public timeonly VrijwilligersVanaf { get; set; }</v>
      </c>
    </row>
    <row r="73" spans="2:12" x14ac:dyDescent="0.25">
      <c r="B73" s="5"/>
      <c r="C73" t="s">
        <v>82</v>
      </c>
      <c r="D73" s="7">
        <v>0.70833333333333337</v>
      </c>
      <c r="F73" s="5" t="s">
        <v>235</v>
      </c>
      <c r="G73" t="s">
        <v>178</v>
      </c>
      <c r="H73" t="s">
        <v>232</v>
      </c>
      <c r="I73" s="7">
        <v>0.70833333333333337</v>
      </c>
      <c r="L73" t="str" cm="1">
        <f t="array" ref="L73">IF($G73="","",_xlfn.CONCAT("public ",$H73," ",_xlfn.CONCAT(PROPER(_xlfn.TEXTSPLIT($G73, "_")))," { get; set; }",IF(COUNTIF(J73,"*"&amp;"Hardcoded"&amp;"*"),_xlfn.CONCAT(" = ",IF($H73="string",CHAR(34),""),I73,IF($H73="string",CHAR(34),""),";"),"")))</f>
        <v>public timeonly VrijwilligersTot { get; set; }</v>
      </c>
    </row>
    <row r="74" spans="2:12" x14ac:dyDescent="0.25">
      <c r="B74" s="5"/>
      <c r="C74" t="s">
        <v>83</v>
      </c>
      <c r="D74">
        <v>1</v>
      </c>
      <c r="F74" s="5" t="s">
        <v>235</v>
      </c>
      <c r="G74" t="s">
        <v>179</v>
      </c>
      <c r="H74" t="s">
        <v>137</v>
      </c>
      <c r="I74">
        <v>1</v>
      </c>
      <c r="L74" t="str" cm="1">
        <f t="array" ref="L74">IF($G74="","",_xlfn.CONCAT("public ",$H74," ",_xlfn.CONCAT(PROPER(_xlfn.TEXTSPLIT($G74, "_")))," { get; set; }",IF(COUNTIF(J74,"*"&amp;"Hardcoded"&amp;"*"),_xlfn.CONCAT(" = ",IF($H74="string",CHAR(34),""),I74,IF($H74="string",CHAR(34),""),";"),"")))</f>
        <v>public uint KaartNummer { get; set; }</v>
      </c>
    </row>
    <row r="75" spans="2:12" x14ac:dyDescent="0.25">
      <c r="B75" s="5" t="s">
        <v>1</v>
      </c>
      <c r="F75" s="5" t="s">
        <v>1</v>
      </c>
      <c r="K75" t="s">
        <v>226</v>
      </c>
      <c r="L75" t="str" cm="1">
        <f t="array" ref="L75">IF($G75="","",_xlfn.CONCAT("public ",$H75," ",_xlfn.CONCAT(PROPER(_xlfn.TEXTSPLIT($G75, "_")))," { get; set; }",IF(COUNTIF(J75,"*"&amp;"Hardcoded"&amp;"*"),_xlfn.CONCAT(" = ",IF($H75="string",CHAR(34),""),I75,IF($H75="string",CHAR(34),""),";"),"")))</f>
        <v/>
      </c>
    </row>
    <row r="76" spans="2:12" x14ac:dyDescent="0.25">
      <c r="B76" s="5"/>
      <c r="C76" t="s">
        <v>19</v>
      </c>
      <c r="D76">
        <v>132</v>
      </c>
      <c r="F76" s="5" t="s">
        <v>235</v>
      </c>
      <c r="G76" t="s">
        <v>147</v>
      </c>
      <c r="H76" t="s">
        <v>137</v>
      </c>
      <c r="I76">
        <v>132</v>
      </c>
      <c r="L76" t="str" cm="1">
        <f t="array" ref="L76">IF($G76="","",_xlfn.CONCAT("public ",$H76," ",_xlfn.CONCAT(PROPER(_xlfn.TEXTSPLIT($G76, "_")))," { get; set; }",IF(COUNTIF(J76,"*"&amp;"Hardcoded"&amp;"*"),_xlfn.CONCAT(" = ",IF($H76="string",CHAR(34),""),I76,IF($H76="string",CHAR(34),""),";"),"")))</f>
        <v>public uint ZanggroepId { get; set; }</v>
      </c>
    </row>
    <row r="77" spans="2:12" x14ac:dyDescent="0.25">
      <c r="B77" s="5"/>
      <c r="C77" t="s">
        <v>10</v>
      </c>
      <c r="D77" t="s">
        <v>88</v>
      </c>
      <c r="F77" s="5" t="s">
        <v>235</v>
      </c>
      <c r="G77" t="s">
        <v>6</v>
      </c>
      <c r="H77" t="s">
        <v>231</v>
      </c>
      <c r="I77" t="s">
        <v>88</v>
      </c>
      <c r="L77" t="str" cm="1">
        <f t="array" ref="L77">IF($G77="","",_xlfn.CONCAT("public ",$H77," ",_xlfn.CONCAT(PROPER(_xlfn.TEXTSPLIT($G77, "_")))," { get; set; }",IF(COUNTIF(J77,"*"&amp;"Hardcoded"&amp;"*"),_xlfn.CONCAT(" = ",IF($H77="string",CHAR(34),""),I77,IF($H77="string",CHAR(34),""),";"),"")))</f>
        <v>public string Naam { get; set; }</v>
      </c>
    </row>
    <row r="78" spans="2:12" x14ac:dyDescent="0.25">
      <c r="B78" s="5"/>
      <c r="C78" t="s">
        <v>47</v>
      </c>
      <c r="D78">
        <v>5</v>
      </c>
      <c r="F78" s="5" t="s">
        <v>235</v>
      </c>
      <c r="G78" t="s">
        <v>146</v>
      </c>
      <c r="H78" t="s">
        <v>137</v>
      </c>
      <c r="I78">
        <v>5</v>
      </c>
      <c r="L78" t="str" cm="1">
        <f t="array" ref="L78">IF($G78="","",_xlfn.CONCAT("public ",$H78," ",_xlfn.CONCAT(PROPER(_xlfn.TEXTSPLIT($G78, "_")))," { get; set; }",IF(COUNTIF(J78,"*"&amp;"Hardcoded"&amp;"*"),_xlfn.CONCAT(" = ",IF($H78="string",CHAR(34),""),I78,IF($H78="string",CHAR(34),""),";"),"")))</f>
        <v>public uint GenreId { get; set; }</v>
      </c>
    </row>
    <row r="79" spans="2:12" x14ac:dyDescent="0.25">
      <c r="B79" s="5"/>
      <c r="C79" t="s">
        <v>86</v>
      </c>
      <c r="D79" t="s">
        <v>89</v>
      </c>
      <c r="F79" s="5" t="s">
        <v>235</v>
      </c>
      <c r="G79" t="s">
        <v>180</v>
      </c>
      <c r="H79" t="s">
        <v>231</v>
      </c>
      <c r="I79" t="s">
        <v>89</v>
      </c>
      <c r="L79" t="str" cm="1">
        <f t="array" ref="L79">IF($G79="","",_xlfn.CONCAT("public ",$H79," ",_xlfn.CONCAT(PROPER(_xlfn.TEXTSPLIT($G79, "_")))," { get; set; }",IF(COUNTIF(J79,"*"&amp;"Hardcoded"&amp;"*"),_xlfn.CONCAT(" = ",IF($H79="string",CHAR(34),""),I79,IF($H79="string",CHAR(34),""),";"),"")))</f>
        <v>public string Standplaats { get; set; }</v>
      </c>
    </row>
    <row r="80" spans="2:12" x14ac:dyDescent="0.25">
      <c r="B80" s="5"/>
      <c r="C80" t="s">
        <v>87</v>
      </c>
      <c r="D80" t="s">
        <v>90</v>
      </c>
      <c r="F80" s="5" t="s">
        <v>235</v>
      </c>
      <c r="G80" t="s">
        <v>181</v>
      </c>
      <c r="H80" t="s">
        <v>231</v>
      </c>
      <c r="I80" t="s">
        <v>90</v>
      </c>
      <c r="L80" t="str" cm="1">
        <f t="array" ref="L80">IF($G80="","",_xlfn.CONCAT("public ",$H80," ",_xlfn.CONCAT(PROPER(_xlfn.TEXTSPLIT($G80, "_")))," { get; set; }",IF(COUNTIF(J80,"*"&amp;"Hardcoded"&amp;"*"),_xlfn.CONCAT(" = ",IF($H80="string",CHAR(34),""),I80,IF($H80="string",CHAR(34),""),";"),"")))</f>
        <v>public string Land { get; set; }</v>
      </c>
    </row>
    <row r="81" spans="2:12" x14ac:dyDescent="0.25">
      <c r="B81" s="5" t="s">
        <v>91</v>
      </c>
      <c r="F81" s="5" t="s">
        <v>91</v>
      </c>
      <c r="K81" t="s">
        <v>227</v>
      </c>
      <c r="L81" t="str" cm="1">
        <f t="array" ref="L81">IF($G81="","",_xlfn.CONCAT("public ",$H81," ",_xlfn.CONCAT(PROPER(_xlfn.TEXTSPLIT($G81, "_")))," { get; set; }",IF(COUNTIF(J81,"*"&amp;"Hardcoded"&amp;"*"),_xlfn.CONCAT(" = ",IF($H81="string",CHAR(34),""),I81,IF($H81="string",CHAR(34),""),";"),"")))</f>
        <v/>
      </c>
    </row>
    <row r="82" spans="2:12" x14ac:dyDescent="0.25">
      <c r="B82" s="5"/>
      <c r="C82" t="s">
        <v>92</v>
      </c>
      <c r="D82">
        <v>1234</v>
      </c>
      <c r="F82" s="5" t="s">
        <v>235</v>
      </c>
      <c r="G82" t="s">
        <v>182</v>
      </c>
      <c r="H82" t="s">
        <v>137</v>
      </c>
      <c r="I82">
        <v>1234</v>
      </c>
      <c r="L82" t="str" cm="1">
        <f t="array" ref="L82">IF($G82="","",_xlfn.CONCAT("public ",$H82," ",_xlfn.CONCAT(PROPER(_xlfn.TEXTSPLIT($G82, "_")))," { get; set; }",IF(COUNTIF(J82,"*"&amp;"Hardcoded"&amp;"*"),_xlfn.CONCAT(" = ",IF($H82="string",CHAR(34),""),I82,IF($H82="string",CHAR(34),""),";"),"")))</f>
        <v>public uint Id { get; set; }</v>
      </c>
    </row>
    <row r="83" spans="2:12" x14ac:dyDescent="0.25">
      <c r="B83" s="5"/>
      <c r="C83" t="s">
        <v>93</v>
      </c>
      <c r="D83" s="6">
        <v>45771</v>
      </c>
      <c r="F83" s="5" t="s">
        <v>235</v>
      </c>
      <c r="G83" t="s">
        <v>7</v>
      </c>
      <c r="H83" t="s">
        <v>162</v>
      </c>
      <c r="I83" s="6">
        <v>45771</v>
      </c>
      <c r="L83" t="str" cm="1">
        <f t="array" ref="L83">IF($G83="","",_xlfn.CONCAT("public ",$H83," ",_xlfn.CONCAT(PROPER(_xlfn.TEXTSPLIT($G83, "_")))," { get; set; }",IF(COUNTIF(J83,"*"&amp;"Hardcoded"&amp;"*"),_xlfn.CONCAT(" = ",IF($H83="string",CHAR(34),""),I83,IF($H83="string",CHAR(34),""),";"),"")))</f>
        <v>public datetime Datum { get; set; }</v>
      </c>
    </row>
    <row r="84" spans="2:12" x14ac:dyDescent="0.25">
      <c r="B84" s="5"/>
      <c r="C84" t="s">
        <v>9</v>
      </c>
      <c r="D84">
        <v>20</v>
      </c>
      <c r="F84" s="5" t="s">
        <v>235</v>
      </c>
      <c r="G84" t="s">
        <v>131</v>
      </c>
      <c r="H84" t="s">
        <v>137</v>
      </c>
      <c r="I84">
        <v>20</v>
      </c>
      <c r="L84" t="str" cm="1">
        <f t="array" ref="L84">IF($G84="","",_xlfn.CONCAT("public ",$H84," ",_xlfn.CONCAT(PROPER(_xlfn.TEXTSPLIT($G84, "_")))," { get; set; }",IF(COUNTIF(J84,"*"&amp;"Hardcoded"&amp;"*"),_xlfn.CONCAT(" = ",IF($H84="string",CHAR(34),""),I84,IF($H84="string",CHAR(34),""),";"),"")))</f>
        <v>public uint FestivalId { get; set; }</v>
      </c>
    </row>
    <row r="85" spans="2:12" x14ac:dyDescent="0.25">
      <c r="B85" s="5"/>
      <c r="C85" t="s">
        <v>67</v>
      </c>
      <c r="D85">
        <v>1157</v>
      </c>
      <c r="F85" s="5" t="s">
        <v>235</v>
      </c>
      <c r="G85" t="s">
        <v>163</v>
      </c>
      <c r="H85" t="s">
        <v>137</v>
      </c>
      <c r="I85">
        <v>1157</v>
      </c>
      <c r="L85" t="str" cm="1">
        <f t="array" ref="L85">IF($G85="","",_xlfn.CONCAT("public ",$H85," ",_xlfn.CONCAT(PROPER(_xlfn.TEXTSPLIT($G85, "_")))," { get; set; }",IF(COUNTIF(J85,"*"&amp;"Hardcoded"&amp;"*"),_xlfn.CONCAT(" = ",IF($H85="string",CHAR(34),""),I85,IF($H85="string",CHAR(34),""),";"),"")))</f>
        <v>public uint PersoonId { get; set; }</v>
      </c>
    </row>
    <row r="86" spans="2:12" x14ac:dyDescent="0.25">
      <c r="B86" s="5"/>
      <c r="C86" t="s">
        <v>58</v>
      </c>
      <c r="D86" s="7">
        <v>0.52083333333333337</v>
      </c>
      <c r="F86" s="5" t="s">
        <v>235</v>
      </c>
      <c r="G86" t="s">
        <v>156</v>
      </c>
      <c r="H86" t="s">
        <v>232</v>
      </c>
      <c r="I86" s="7">
        <v>0.52083333333333337</v>
      </c>
      <c r="L86" t="str" cm="1">
        <f t="array" ref="L86">IF($G86="","",_xlfn.CONCAT("public ",$H86," ",_xlfn.CONCAT(PROPER(_xlfn.TEXTSPLIT($G86, "_")))," { get; set; }",IF(COUNTIF(J86,"*"&amp;"Hardcoded"&amp;"*"),_xlfn.CONCAT(" = ",IF($H86="string",CHAR(34),""),I86,IF($H86="string",CHAR(34),""),";"),"")))</f>
        <v>public timeonly BeschikbaarVan { get; set; }</v>
      </c>
    </row>
    <row r="87" spans="2:12" x14ac:dyDescent="0.25">
      <c r="B87" s="5"/>
      <c r="C87" t="s">
        <v>59</v>
      </c>
      <c r="D87" s="7">
        <v>0.625</v>
      </c>
      <c r="F87" s="5" t="s">
        <v>235</v>
      </c>
      <c r="G87" t="s">
        <v>157</v>
      </c>
      <c r="H87" t="s">
        <v>232</v>
      </c>
      <c r="I87" s="7">
        <v>0.625</v>
      </c>
      <c r="L87" t="str" cm="1">
        <f t="array" ref="L87">IF($G87="","",_xlfn.CONCAT("public ",$H87," ",_xlfn.CONCAT(PROPER(_xlfn.TEXTSPLIT($G87, "_")))," { get; set; }",IF(COUNTIF(J87,"*"&amp;"Hardcoded"&amp;"*"),_xlfn.CONCAT(" = ",IF($H87="string",CHAR(34),""),I87,IF($H87="string",CHAR(34),""),";"),"")))</f>
        <v>public timeonly BeschikbaarTot { get; set; }</v>
      </c>
    </row>
    <row r="88" spans="2:12" x14ac:dyDescent="0.25">
      <c r="B88" s="5"/>
      <c r="C88" t="s">
        <v>94</v>
      </c>
      <c r="D88">
        <v>2</v>
      </c>
      <c r="F88" s="5" t="s">
        <v>235</v>
      </c>
      <c r="G88" t="s">
        <v>183</v>
      </c>
      <c r="H88" t="s">
        <v>137</v>
      </c>
      <c r="I88">
        <v>2</v>
      </c>
      <c r="L88" t="str" cm="1">
        <f t="array" ref="L88">IF($G88="","",_xlfn.CONCAT("public ",$H88," ",_xlfn.CONCAT(PROPER(_xlfn.TEXTSPLIT($G88, "_")))," { get; set; }",IF(COUNTIF(J88,"*"&amp;"Hardcoded"&amp;"*"),_xlfn.CONCAT(" = ",IF($H88="string",CHAR(34),""),I88,IF($H88="string",CHAR(34),""),";"),"")))</f>
        <v>public uint UrenAchtereen { get; set; }</v>
      </c>
    </row>
    <row r="89" spans="2:12" x14ac:dyDescent="0.25">
      <c r="B89" s="5"/>
      <c r="C89" t="s">
        <v>95</v>
      </c>
      <c r="D89" t="s">
        <v>64</v>
      </c>
      <c r="F89" s="5" t="s">
        <v>235</v>
      </c>
      <c r="G89" t="s">
        <v>184</v>
      </c>
      <c r="H89" t="s">
        <v>231</v>
      </c>
      <c r="I89" t="s">
        <v>64</v>
      </c>
      <c r="L89" t="str" cm="1">
        <f t="array" ref="L89">IF($G89="","",_xlfn.CONCAT("public ",$H89," ",_xlfn.CONCAT(PROPER(_xlfn.TEXTSPLIT($G89, "_")))," { get; set; }",IF(COUNTIF(J89,"*"&amp;"Hardcoded"&amp;"*"),_xlfn.CONCAT(" = ",IF($H89="string",CHAR(34),""),I89,IF($H89="string",CHAR(34),""),";"),"")))</f>
        <v>public string Lunch { get; set; }</v>
      </c>
    </row>
    <row r="90" spans="2:12" x14ac:dyDescent="0.25">
      <c r="B90" s="5"/>
      <c r="C90" t="s">
        <v>96</v>
      </c>
      <c r="D90" t="s">
        <v>64</v>
      </c>
      <c r="F90" s="5" t="s">
        <v>235</v>
      </c>
      <c r="G90" t="s">
        <v>185</v>
      </c>
      <c r="H90" t="s">
        <v>231</v>
      </c>
      <c r="I90" t="s">
        <v>64</v>
      </c>
      <c r="L90" t="str" cm="1">
        <f t="array" ref="L90">IF($G90="","",_xlfn.CONCAT("public ",$H90," ",_xlfn.CONCAT(PROPER(_xlfn.TEXTSPLIT($G90, "_")))," { get; set; }",IF(COUNTIF(J90,"*"&amp;"Hardcoded"&amp;"*"),_xlfn.CONCAT(" = ",IF($H90="string",CHAR(34),""),I90,IF($H90="string",CHAR(34),""),";"),"")))</f>
        <v>public string Vegetarisch { get; set; }</v>
      </c>
    </row>
    <row r="91" spans="2:12" x14ac:dyDescent="0.25">
      <c r="B91" s="5"/>
      <c r="C91" t="s">
        <v>97</v>
      </c>
      <c r="D91" t="s">
        <v>64</v>
      </c>
      <c r="F91" s="5" t="s">
        <v>235</v>
      </c>
      <c r="G91" t="s">
        <v>186</v>
      </c>
      <c r="H91" t="s">
        <v>231</v>
      </c>
      <c r="I91" t="s">
        <v>64</v>
      </c>
      <c r="L91" t="str" cm="1">
        <f t="array" ref="L91">IF($G91="","",_xlfn.CONCAT("public ",$H91," ",_xlfn.CONCAT(PROPER(_xlfn.TEXTSPLIT($G91, "_")))," { get; set; }",IF(COUNTIF(J91,"*"&amp;"Hardcoded"&amp;"*"),_xlfn.CONCAT(" = ",IF($H91="string",CHAR(34),""),I91,IF($H91="string",CHAR(34),""),";"),"")))</f>
        <v>public string Bijeenkomst { get; set; }</v>
      </c>
    </row>
    <row r="92" spans="2:12" x14ac:dyDescent="0.25">
      <c r="B92" s="5"/>
      <c r="C92" t="s">
        <v>98</v>
      </c>
      <c r="D92" t="s">
        <v>109</v>
      </c>
      <c r="F92" s="5" t="s">
        <v>235</v>
      </c>
      <c r="G92" t="s">
        <v>187</v>
      </c>
      <c r="H92" t="s">
        <v>231</v>
      </c>
      <c r="I92" t="s">
        <v>109</v>
      </c>
      <c r="L92" t="str" cm="1">
        <f t="array" ref="L92">IF($G92="","",_xlfn.CONCAT("public ",$H92," ",_xlfn.CONCAT(PROPER(_xlfn.TEXTSPLIT($G92, "_")))," { get; set; }",IF(COUNTIF(J92,"*"&amp;"Hardcoded"&amp;"*"),_xlfn.CONCAT(" = ",IF($H92="string",CHAR(34),""),I92,IF($H92="string",CHAR(34),""),";"),"")))</f>
        <v>public string Ervaring { get; set; }</v>
      </c>
    </row>
    <row r="93" spans="2:12" x14ac:dyDescent="0.25">
      <c r="B93" s="5"/>
      <c r="C93" t="s">
        <v>99</v>
      </c>
      <c r="D93" t="s">
        <v>109</v>
      </c>
      <c r="F93" s="5" t="s">
        <v>235</v>
      </c>
      <c r="G93" t="s">
        <v>188</v>
      </c>
      <c r="H93" t="s">
        <v>231</v>
      </c>
      <c r="I93" t="s">
        <v>109</v>
      </c>
      <c r="L93" t="str" cm="1">
        <f t="array" ref="L93">IF($G93="","",_xlfn.CONCAT("public ",$H93," ",_xlfn.CONCAT(PROPER(_xlfn.TEXTSPLIT($G93, "_")))," { get; set; }",IF(COUNTIF(J93,"*"&amp;"Hardcoded"&amp;"*"),_xlfn.CONCAT(" = ",IF($H93="string",CHAR(34),""),I93,IF($H93="string",CHAR(34),""),";"),"")))</f>
        <v>public string Podiumdienst { get; set; }</v>
      </c>
    </row>
    <row r="94" spans="2:12" x14ac:dyDescent="0.25">
      <c r="B94" s="5"/>
      <c r="C94" t="s">
        <v>100</v>
      </c>
      <c r="D94" t="s">
        <v>109</v>
      </c>
      <c r="F94" s="5" t="s">
        <v>235</v>
      </c>
      <c r="G94" t="s">
        <v>189</v>
      </c>
      <c r="H94" t="s">
        <v>231</v>
      </c>
      <c r="I94" t="s">
        <v>109</v>
      </c>
      <c r="L94" t="str" cm="1">
        <f t="array" ref="L94">IF($G94="","",_xlfn.CONCAT("public ",$H94," ",_xlfn.CONCAT(PROPER(_xlfn.TEXTSPLIT($G94, "_")))," { get; set; }",IF(COUNTIF(J94,"*"&amp;"Hardcoded"&amp;"*"),_xlfn.CONCAT(" = ",IF($H94="string",CHAR(34),""),I94,IF($H94="string",CHAR(34),""),";"),"")))</f>
        <v>public string Taken { get; set; }</v>
      </c>
    </row>
    <row r="95" spans="2:12" x14ac:dyDescent="0.25">
      <c r="B95" s="5"/>
      <c r="C95" t="s">
        <v>101</v>
      </c>
      <c r="F95" s="5" t="s">
        <v>235</v>
      </c>
      <c r="G95" t="s">
        <v>190</v>
      </c>
      <c r="H95" t="s">
        <v>137</v>
      </c>
      <c r="L95" t="str" cm="1">
        <f t="array" ref="L95">IF($G95="","",_xlfn.CONCAT("public ",$H95," ",_xlfn.CONCAT(PROPER(_xlfn.TEXTSPLIT($G95, "_")))," { get; set; }",IF(COUNTIF(J95,"*"&amp;"Hardcoded"&amp;"*"),_xlfn.CONCAT(" = ",IF($H95="string",CHAR(34),""),I95,IF($H95="string",CHAR(34),""),";"),"")))</f>
        <v>public uint SamenMet { get; set; }</v>
      </c>
    </row>
    <row r="96" spans="2:12" x14ac:dyDescent="0.25">
      <c r="B96" s="5"/>
      <c r="C96" t="s">
        <v>102</v>
      </c>
      <c r="F96" s="5" t="s">
        <v>235</v>
      </c>
      <c r="G96" t="s">
        <v>191</v>
      </c>
      <c r="H96" t="s">
        <v>137</v>
      </c>
      <c r="L96" t="str" cm="1">
        <f t="array" ref="L96">IF($G96="","",_xlfn.CONCAT("public ",$H96," ",_xlfn.CONCAT(PROPER(_xlfn.TEXTSPLIT($G96, "_")))," { get; set; }",IF(COUNTIF(J96,"*"&amp;"Hardcoded"&amp;"*"),_xlfn.CONCAT(" = ",IF($H96="string",CHAR(34),""),I96,IF($H96="string",CHAR(34),""),";"),"")))</f>
        <v>public uint Podiumvoorkeur { get; set; }</v>
      </c>
    </row>
    <row r="97" spans="2:12" x14ac:dyDescent="0.25">
      <c r="B97" s="5"/>
      <c r="C97" t="s">
        <v>103</v>
      </c>
      <c r="F97" s="5" t="s">
        <v>235</v>
      </c>
      <c r="G97" t="s">
        <v>192</v>
      </c>
      <c r="H97" t="s">
        <v>137</v>
      </c>
      <c r="L97" t="str" cm="1">
        <f t="array" ref="L97">IF($G97="","",_xlfn.CONCAT("public ",$H97," ",_xlfn.CONCAT(PROPER(_xlfn.TEXTSPLIT($G97, "_")))," { get; set; }",IF(COUNTIF(J97,"*"&amp;"Hardcoded"&amp;"*"),_xlfn.CONCAT(" = ",IF($H97="string",CHAR(34),""),I97,IF($H97="string",CHAR(34),""),";"),"")))</f>
        <v>public uint Podiumafkeur { get; set; }</v>
      </c>
    </row>
    <row r="98" spans="2:12" x14ac:dyDescent="0.25">
      <c r="B98" s="5"/>
      <c r="C98" t="s">
        <v>104</v>
      </c>
      <c r="F98" s="5" t="s">
        <v>235</v>
      </c>
      <c r="G98" t="s">
        <v>193</v>
      </c>
      <c r="H98" t="s">
        <v>137</v>
      </c>
      <c r="L98" t="str" cm="1">
        <f t="array" ref="L98">IF($G98="","",_xlfn.CONCAT("public ",$H98," ",_xlfn.CONCAT(PROPER(_xlfn.TEXTSPLIT($G98, "_")))," { get; set; }",IF(COUNTIF(J98,"*"&amp;"Hardcoded"&amp;"*"),_xlfn.CONCAT(" = ",IF($H98="string",CHAR(34),""),I98,IF($H98="string",CHAR(34),""),";"),"")))</f>
        <v>public uint Koorvoorkeur { get; set; }</v>
      </c>
    </row>
    <row r="99" spans="2:12" x14ac:dyDescent="0.25">
      <c r="B99" s="5"/>
      <c r="C99" t="s">
        <v>105</v>
      </c>
      <c r="D99">
        <v>298</v>
      </c>
      <c r="F99" s="5" t="s">
        <v>235</v>
      </c>
      <c r="G99" t="s">
        <v>194</v>
      </c>
      <c r="H99" t="s">
        <v>137</v>
      </c>
      <c r="I99">
        <v>298</v>
      </c>
      <c r="L99" t="str" cm="1">
        <f t="array" ref="L99">IF($G99="","",_xlfn.CONCAT("public ",$H99," ",_xlfn.CONCAT(PROPER(_xlfn.TEXTSPLIT($G99, "_")))," { get; set; }",IF(COUNTIF(J99,"*"&amp;"Hardcoded"&amp;"*"),_xlfn.CONCAT(" = ",IF($H99="string",CHAR(34),""),I99,IF($H99="string",CHAR(34),""),";"),"")))</f>
        <v>public uint Koorafkeur { get; set; }</v>
      </c>
    </row>
    <row r="100" spans="2:12" x14ac:dyDescent="0.25">
      <c r="B100" s="5"/>
      <c r="C100" t="s">
        <v>106</v>
      </c>
      <c r="D100">
        <v>8</v>
      </c>
      <c r="F100" s="5" t="s">
        <v>237</v>
      </c>
      <c r="G100" t="s">
        <v>195</v>
      </c>
      <c r="H100" t="s">
        <v>231</v>
      </c>
      <c r="I100">
        <v>8</v>
      </c>
      <c r="L100" t="str" cm="1">
        <f t="array" ref="L100">IF($G100="","",_xlfn.CONCAT("public ",$H100," ",_xlfn.CONCAT(PROPER(_xlfn.TEXTSPLIT($G100, "_")))," { get; set; }",IF(COUNTIF(J100,"*"&amp;"Hardcoded"&amp;"*"),_xlfn.CONCAT(" = ",IF($H100="string",CHAR(34),""),I100,IF($H100="string",CHAR(34),""),";"),"")))</f>
        <v>public string Taakvoorkeur { get; set; }</v>
      </c>
    </row>
    <row r="101" spans="2:12" x14ac:dyDescent="0.25">
      <c r="B101" s="5"/>
      <c r="C101" t="s">
        <v>107</v>
      </c>
      <c r="F101" s="5" t="s">
        <v>235</v>
      </c>
      <c r="G101" t="s">
        <v>196</v>
      </c>
      <c r="H101" t="s">
        <v>231</v>
      </c>
      <c r="L101" t="str" cm="1">
        <f t="array" ref="L101">IF($G101="","",_xlfn.CONCAT("public ",$H101," ",_xlfn.CONCAT(PROPER(_xlfn.TEXTSPLIT($G101, "_")))," { get; set; }",IF(COUNTIF(J101,"*"&amp;"Hardcoded"&amp;"*"),_xlfn.CONCAT(" = ",IF($H101="string",CHAR(34),""),I101,IF($H101="string",CHAR(34),""),";"),"")))</f>
        <v>public string Taakafkeur { get; set; }</v>
      </c>
    </row>
    <row r="102" spans="2:12" x14ac:dyDescent="0.25">
      <c r="B102" s="5"/>
      <c r="C102" t="s">
        <v>108</v>
      </c>
      <c r="D102" t="s">
        <v>110</v>
      </c>
      <c r="F102" s="5" t="s">
        <v>235</v>
      </c>
      <c r="G102" t="s">
        <v>197</v>
      </c>
      <c r="H102" t="s">
        <v>231</v>
      </c>
      <c r="I102" t="s">
        <v>110</v>
      </c>
      <c r="L102" t="str" cm="1">
        <f t="array" ref="L102">IF($G102="","",_xlfn.CONCAT("public ",$H102," ",_xlfn.CONCAT(PROPER(_xlfn.TEXTSPLIT($G102, "_")))," { get; set; }",IF(COUNTIF(J102,"*"&amp;"Hardcoded"&amp;"*"),_xlfn.CONCAT(" = ",IF($H102="string",CHAR(34),""),I102,IF($H102="string",CHAR(34),""),";"),"")))</f>
        <v>public string Opmerkingen { get; set; }</v>
      </c>
    </row>
    <row r="103" spans="2:12" x14ac:dyDescent="0.25">
      <c r="B103" s="5" t="s">
        <v>4</v>
      </c>
      <c r="F103" s="5" t="s">
        <v>198</v>
      </c>
      <c r="J103" s="4" t="s">
        <v>199</v>
      </c>
      <c r="K103" t="s">
        <v>228</v>
      </c>
      <c r="L103" t="str" cm="1">
        <f t="array" ref="L103">IF($G103="","",_xlfn.CONCAT("public ",$H103," ",_xlfn.CONCAT(PROPER(_xlfn.TEXTSPLIT($G103, "_")))," { get; set; }",IF(COUNTIF(J103,"*"&amp;"Hardcoded"&amp;"*"),_xlfn.CONCAT(" = ",IF($H103="string",CHAR(34),""),I103,IF($H103="string",CHAR(34),""),";"),"")))</f>
        <v/>
      </c>
    </row>
    <row r="104" spans="2:12" x14ac:dyDescent="0.25">
      <c r="C104" t="s">
        <v>19</v>
      </c>
      <c r="D104" s="2">
        <v>361</v>
      </c>
      <c r="F104" s="5" t="s">
        <v>235</v>
      </c>
      <c r="G104" t="s">
        <v>147</v>
      </c>
      <c r="H104" t="s">
        <v>137</v>
      </c>
      <c r="L104" t="str" cm="1">
        <f t="array" ref="L104">IF($G104="","",_xlfn.CONCAT("public ",$H104," ",_xlfn.CONCAT(PROPER(_xlfn.TEXTSPLIT($G104, "_")))," { get; set; }",IF(COUNTIF(J104,"*"&amp;"Hardcoded"&amp;"*"),_xlfn.CONCAT(" = ",IF($H104="string",CHAR(34),""),I104,IF($H104="string",CHAR(34),""),";"),"")))</f>
        <v>public uint ZanggroepId { get; set; }</v>
      </c>
    </row>
    <row r="105" spans="2:12" x14ac:dyDescent="0.25">
      <c r="C105" t="s">
        <v>20</v>
      </c>
      <c r="D105" s="2">
        <v>2</v>
      </c>
      <c r="F105" s="5" t="s">
        <v>235</v>
      </c>
      <c r="G105" t="s">
        <v>170</v>
      </c>
      <c r="H105" t="s">
        <v>137</v>
      </c>
      <c r="L105" t="str" cm="1">
        <f t="array" ref="L105">IF($G105="","",_xlfn.CONCAT("public ",$H105," ",_xlfn.CONCAT(PROPER(_xlfn.TEXTSPLIT($G105, "_")))," { get; set; }",IF(COUNTIF(J105,"*"&amp;"Hardcoded"&amp;"*"),_xlfn.CONCAT(" = ",IF($H105="string",CHAR(34),""),I105,IF($H105="string",CHAR(34),""),";"),"")))</f>
        <v>public uint PodiumId { get; set; }</v>
      </c>
    </row>
    <row r="106" spans="2:12" x14ac:dyDescent="0.25">
      <c r="C106" t="s">
        <v>21</v>
      </c>
      <c r="D106" s="3">
        <v>0.45833333333333331</v>
      </c>
      <c r="E106" t="s">
        <v>111</v>
      </c>
      <c r="F106" s="5" t="s">
        <v>235</v>
      </c>
      <c r="G106" s="4" t="s">
        <v>206</v>
      </c>
      <c r="H106" s="4" t="s">
        <v>137</v>
      </c>
      <c r="I106" s="4"/>
      <c r="J106" s="4" t="s">
        <v>207</v>
      </c>
      <c r="L106" t="str" cm="1">
        <f t="array" ref="L106">IF($G106="","",_xlfn.CONCAT("public ",$H106," ",_xlfn.CONCAT(PROPER(_xlfn.TEXTSPLIT($G106, "_")))," { get; set; }",IF(COUNTIF(J106,"*"&amp;"Hardcoded"&amp;"*"),_xlfn.CONCAT(" = ",IF($H106="string",CHAR(34),""),I106,IF($H106="string",CHAR(34),""),";"),"")))</f>
        <v>public uint Index Van &lt;Van&gt; Timeslot { get; set; }</v>
      </c>
    </row>
    <row r="107" spans="2:12" x14ac:dyDescent="0.25">
      <c r="C107" t="s">
        <v>22</v>
      </c>
      <c r="D107" s="1">
        <v>0.47916666666666669</v>
      </c>
      <c r="E107" t="s">
        <v>112</v>
      </c>
      <c r="F107" s="5" t="s">
        <v>235</v>
      </c>
      <c r="G107" s="4"/>
      <c r="H107" s="4"/>
      <c r="I107" s="4"/>
      <c r="J107" s="4" t="s">
        <v>208</v>
      </c>
      <c r="L107" t="str" cm="1">
        <f t="array" ref="L107">IF($G107="","",_xlfn.CONCAT("public ",$H107," ",_xlfn.CONCAT(PROPER(_xlfn.TEXTSPLIT($G107, "_")))," { get; set; }",IF(COUNTIF(J107,"*"&amp;"Hardcoded"&amp;"*"),_xlfn.CONCAT(" = ",IF($H107="string",CHAR(34),""),I107,IF($H107="string",CHAR(34),""),";"),"")))</f>
        <v/>
      </c>
    </row>
    <row r="108" spans="2:12" x14ac:dyDescent="0.25">
      <c r="C108" t="s">
        <v>23</v>
      </c>
      <c r="D108" t="s">
        <v>25</v>
      </c>
      <c r="F108" s="5" t="s">
        <v>235</v>
      </c>
      <c r="G108" s="4" t="s">
        <v>25</v>
      </c>
      <c r="J108" s="4" t="s">
        <v>140</v>
      </c>
      <c r="L108" t="str" cm="1">
        <f t="array" ref="L108">IF($G108="","",_xlfn.CONCAT("public ",$H108," ",_xlfn.CONCAT(PROPER(_xlfn.TEXTSPLIT($G108, "_")))," { get; set; }",IF(COUNTIF(J108,"*"&amp;"Hardcoded"&amp;"*"),_xlfn.CONCAT(" = ",IF($H108="string",CHAR(34),""),I108,IF($H108="string",CHAR(34),""),";"),"")))</f>
        <v>public  False { get; set; } = ;</v>
      </c>
    </row>
    <row r="109" spans="2:12" x14ac:dyDescent="0.25">
      <c r="C109" s="2" t="s">
        <v>24</v>
      </c>
      <c r="D109" t="s">
        <v>26</v>
      </c>
      <c r="F109" s="5" t="s">
        <v>235</v>
      </c>
      <c r="G109" s="4" t="s">
        <v>209</v>
      </c>
      <c r="J109" s="4" t="s">
        <v>210</v>
      </c>
      <c r="L109" t="str" cm="1">
        <f t="array" ref="L109">IF($G109="","",_xlfn.CONCAT("public ",$H109," ",_xlfn.CONCAT(PROPER(_xlfn.TEXTSPLIT($G109, "_")))," { get; set; }",IF(COUNTIF(J109,"*"&amp;"Hardcoded"&amp;"*"),_xlfn.CONCAT(" = ",IF($H109="string",CHAR(34),""),I109,IF($H109="string",CHAR(34),""),";"),"")))</f>
        <v>public  Samenvoeging { get; set; }</v>
      </c>
    </row>
    <row r="110" spans="2:12" x14ac:dyDescent="0.25">
      <c r="B110" s="5" t="s">
        <v>3</v>
      </c>
      <c r="C110" s="2"/>
      <c r="E110" t="s">
        <v>113</v>
      </c>
      <c r="F110" s="5"/>
      <c r="K110" t="s">
        <v>229</v>
      </c>
      <c r="L110" t="str" cm="1">
        <f t="array" ref="L110">IF($G110="","",_xlfn.CONCAT("public ",$H110," ",_xlfn.CONCAT(PROPER(_xlfn.TEXTSPLIT($G110, "_")))," { get; set; }",IF(COUNTIF(J110,"*"&amp;"Hardcoded"&amp;"*"),_xlfn.CONCAT(" = ",IF($H110="string",CHAR(34),""),I110,IF($H110="string",CHAR(34),""),";"),"")))</f>
        <v/>
      </c>
    </row>
    <row r="111" spans="2:12" x14ac:dyDescent="0.25">
      <c r="B111" s="5" t="s">
        <v>114</v>
      </c>
      <c r="F111" s="5" t="s">
        <v>114</v>
      </c>
      <c r="K111" t="s">
        <v>229</v>
      </c>
      <c r="L111" t="str" cm="1">
        <f t="array" ref="L111">IF($G111="","",_xlfn.CONCAT("public ",$H111," ",_xlfn.CONCAT(PROPER(_xlfn.TEXTSPLIT($G111, "_")))," { get; set; }",IF(COUNTIF(J111,"*"&amp;"Hardcoded"&amp;"*"),_xlfn.CONCAT(" = ",IF($H111="string",CHAR(34),""),I111,IF($H111="string",CHAR(34),""),";"),"")))</f>
        <v/>
      </c>
    </row>
    <row r="112" spans="2:12" x14ac:dyDescent="0.25">
      <c r="B112" s="5"/>
      <c r="C112" t="s">
        <v>115</v>
      </c>
      <c r="D112">
        <v>1</v>
      </c>
      <c r="F112" s="5" t="s">
        <v>235</v>
      </c>
      <c r="G112" t="s">
        <v>203</v>
      </c>
      <c r="H112" t="s">
        <v>137</v>
      </c>
      <c r="L112" t="str" cm="1">
        <f t="array" ref="L112">IF($G112="","",_xlfn.CONCAT("public ",$H112," ",_xlfn.CONCAT(PROPER(_xlfn.TEXTSPLIT($G112, "_")))," { get; set; }",IF(COUNTIF(J112,"*"&amp;"Hardcoded"&amp;"*"),_xlfn.CONCAT(" = ",IF($H112="string",CHAR(34),""),I112,IF($H112="string",CHAR(34),""),";"),"")))</f>
        <v>public uint TaakId { get; set; }</v>
      </c>
    </row>
    <row r="113" spans="2:12" x14ac:dyDescent="0.25">
      <c r="B113" s="5"/>
      <c r="C113" t="s">
        <v>116</v>
      </c>
      <c r="D113" t="s">
        <v>119</v>
      </c>
      <c r="F113" s="5" t="s">
        <v>235</v>
      </c>
      <c r="G113" t="s">
        <v>204</v>
      </c>
      <c r="H113" t="s">
        <v>231</v>
      </c>
      <c r="L113" t="str" cm="1">
        <f t="array" ref="L113">IF($G113="","",_xlfn.CONCAT("public ",$H113," ",_xlfn.CONCAT(PROPER(_xlfn.TEXTSPLIT($G113, "_")))," { get; set; }",IF(COUNTIF(J113,"*"&amp;"Hardcoded"&amp;"*"),_xlfn.CONCAT(" = ",IF($H113="string",CHAR(34),""),I113,IF($H113="string",CHAR(34),""),";"),"")))</f>
        <v>public string KorteNaam { get; set; }</v>
      </c>
    </row>
    <row r="114" spans="2:12" x14ac:dyDescent="0.25">
      <c r="B114" s="5"/>
      <c r="C114" t="s">
        <v>10</v>
      </c>
      <c r="D114" t="s">
        <v>120</v>
      </c>
      <c r="F114" s="5" t="s">
        <v>235</v>
      </c>
      <c r="G114" t="s">
        <v>6</v>
      </c>
      <c r="H114" t="s">
        <v>231</v>
      </c>
      <c r="L114" t="str" cm="1">
        <f t="array" ref="L114">IF($G114="","",_xlfn.CONCAT("public ",$H114," ",_xlfn.CONCAT(PROPER(_xlfn.TEXTSPLIT($G114, "_")))," { get; set; }",IF(COUNTIF(J114,"*"&amp;"Hardcoded"&amp;"*"),_xlfn.CONCAT(" = ",IF($H114="string",CHAR(34),""),I114,IF($H114="string",CHAR(34),""),";"),"")))</f>
        <v>public string Naam { get; set; }</v>
      </c>
    </row>
    <row r="115" spans="2:12" x14ac:dyDescent="0.25">
      <c r="B115" s="5"/>
      <c r="C115" t="s">
        <v>117</v>
      </c>
      <c r="D115">
        <v>60</v>
      </c>
      <c r="F115" s="5" t="s">
        <v>235</v>
      </c>
      <c r="G115" t="s">
        <v>205</v>
      </c>
      <c r="H115" t="s">
        <v>137</v>
      </c>
      <c r="L115" t="str" cm="1">
        <f t="array" ref="L115">IF($G115="","",_xlfn.CONCAT("public ",$H115," ",_xlfn.CONCAT(PROPER(_xlfn.TEXTSPLIT($G115, "_")))," { get; set; }",IF(COUNTIF(J115,"*"&amp;"Hardcoded"&amp;"*"),_xlfn.CONCAT(" = ",IF($H115="string",CHAR(34),""),I115,IF($H115="string",CHAR(34),""),";"),"")))</f>
        <v>public uint Minimumduur { get; set; }</v>
      </c>
    </row>
    <row r="116" spans="2:12" x14ac:dyDescent="0.25">
      <c r="C116" t="s">
        <v>118</v>
      </c>
      <c r="D116">
        <v>90</v>
      </c>
      <c r="F116" s="5" t="s">
        <v>235</v>
      </c>
      <c r="G116" t="s">
        <v>211</v>
      </c>
      <c r="H116" t="s">
        <v>137</v>
      </c>
      <c r="L116" t="str" cm="1">
        <f t="array" ref="L116">IF($G116="","",_xlfn.CONCAT("public ",$H116," ",_xlfn.CONCAT(PROPER(_xlfn.TEXTSPLIT($G116, "_")))," { get; set; }",IF(COUNTIF(J116,"*"&amp;"Hardcoded"&amp;"*"),_xlfn.CONCAT(" = ",IF($H116="string",CHAR(34),""),I116,IF($H116="string",CHAR(34),""),";"),"")))</f>
        <v>public uint Maximumduur { get; set; }</v>
      </c>
    </row>
    <row r="117" spans="2:12" x14ac:dyDescent="0.25">
      <c r="B117" s="5" t="s">
        <v>121</v>
      </c>
      <c r="F117" s="5" t="s">
        <v>114</v>
      </c>
      <c r="K117" t="s">
        <v>230</v>
      </c>
      <c r="L117" t="str" cm="1">
        <f t="array" ref="L117">IF($G117="","",_xlfn.CONCAT("public ",$H117," ",_xlfn.CONCAT(PROPER(_xlfn.TEXTSPLIT($G117, "_")))," { get; set; }",IF(COUNTIF(J117,"*"&amp;"Hardcoded"&amp;"*"),_xlfn.CONCAT(" = ",IF($H117="string",CHAR(34),""),I117,IF($H117="string",CHAR(34),""),";"),"")))</f>
        <v/>
      </c>
    </row>
    <row r="118" spans="2:12" x14ac:dyDescent="0.25">
      <c r="C118" t="s">
        <v>115</v>
      </c>
      <c r="D118">
        <v>1</v>
      </c>
      <c r="F118" s="5" t="s">
        <v>235</v>
      </c>
      <c r="G118" t="s">
        <v>203</v>
      </c>
      <c r="H118" t="s">
        <v>137</v>
      </c>
      <c r="L118" t="str" cm="1">
        <f t="array" ref="L118">IF($G118="","",_xlfn.CONCAT("public ",$H118," ",_xlfn.CONCAT(PROPER(_xlfn.TEXTSPLIT($G118, "_")))," { get; set; }",IF(COUNTIF(J118,"*"&amp;"Hardcoded"&amp;"*"),_xlfn.CONCAT(" = ",IF($H118="string",CHAR(34),""),I118,IF($H118="string",CHAR(34),""),";"),"")))</f>
        <v>public uint TaakId { get; set; }</v>
      </c>
    </row>
    <row r="119" spans="2:12" x14ac:dyDescent="0.25">
      <c r="C119" t="s">
        <v>21</v>
      </c>
      <c r="D119" s="1">
        <v>0.375</v>
      </c>
      <c r="F119" s="5" t="s">
        <v>235</v>
      </c>
      <c r="G119" s="4" t="s">
        <v>214</v>
      </c>
      <c r="H119" t="s">
        <v>232</v>
      </c>
      <c r="J119" s="4" t="s">
        <v>217</v>
      </c>
      <c r="L119" t="str" cm="1">
        <f t="array" ref="L119">IF($G119="","",_xlfn.CONCAT("public ",$H119," ",_xlfn.CONCAT(PROPER(_xlfn.TEXTSPLIT($G119, "_")))," { get; set; }",IF(COUNTIF(J119,"*"&amp;"Hardcoded"&amp;"*"),_xlfn.CONCAT(" = ",IF($H119="string",CHAR(34),""),I119,IF($H119="string",CHAR(34),""),";"),"")))</f>
        <v>public timeonly BezettingTijdvak(1,2)Van { get; set; }</v>
      </c>
    </row>
    <row r="120" spans="2:12" x14ac:dyDescent="0.25">
      <c r="C120" t="s">
        <v>22</v>
      </c>
      <c r="D120" s="1">
        <v>0.5</v>
      </c>
      <c r="F120" s="5" t="s">
        <v>235</v>
      </c>
      <c r="G120" s="4" t="s">
        <v>215</v>
      </c>
      <c r="H120" t="s">
        <v>232</v>
      </c>
      <c r="J120" s="4" t="s">
        <v>217</v>
      </c>
      <c r="L120" t="str" cm="1">
        <f t="array" ref="L120">IF($G120="","",_xlfn.CONCAT("public ",$H120," ",_xlfn.CONCAT(PROPER(_xlfn.TEXTSPLIT($G120, "_")))," { get; set; }",IF(COUNTIF(J120,"*"&amp;"Hardcoded"&amp;"*"),_xlfn.CONCAT(" = ",IF($H120="string",CHAR(34),""),I120,IF($H120="string",CHAR(34),""),";"),"")))</f>
        <v>public timeonly BezettingTijdvak(1,2)Tot { get; set; }</v>
      </c>
    </row>
    <row r="121" spans="2:12" x14ac:dyDescent="0.25">
      <c r="B121" s="5"/>
      <c r="C121" t="s">
        <v>122</v>
      </c>
      <c r="D121">
        <v>2</v>
      </c>
      <c r="F121" s="5" t="s">
        <v>235</v>
      </c>
      <c r="G121" s="4" t="s">
        <v>216</v>
      </c>
      <c r="H121" t="s">
        <v>137</v>
      </c>
      <c r="J121" s="4" t="s">
        <v>217</v>
      </c>
      <c r="L121" t="str" cm="1">
        <f t="array" ref="L121">IF($G121="","",_xlfn.CONCAT("public ",$H121," ",_xlfn.CONCAT(PROPER(_xlfn.TEXTSPLIT($G121, "_")))," { get; set; }",IF(COUNTIF(J121,"*"&amp;"Hardcoded"&amp;"*"),_xlfn.CONCAT(" = ",IF($H121="string",CHAR(34),""),I121,IF($H121="string",CHAR(34),""),";"),"")))</f>
        <v>public uint AantalVrijwilligersTijdvak(1,2) { get; set; }</v>
      </c>
    </row>
    <row r="122" spans="2:12" x14ac:dyDescent="0.25">
      <c r="B122" s="5"/>
      <c r="F122" s="5" t="s">
        <v>212</v>
      </c>
      <c r="J122" s="4" t="s">
        <v>199</v>
      </c>
      <c r="K122" t="s">
        <v>230</v>
      </c>
      <c r="L122" t="str" cm="1">
        <f t="array" ref="L122">IF($G122="","",_xlfn.CONCAT("public ",$H122," ",_xlfn.CONCAT(PROPER(_xlfn.TEXTSPLIT($G122, "_")))," { get; set; }",IF(COUNTIF(J122,"*"&amp;"Hardcoded"&amp;"*"),_xlfn.CONCAT(" = ",IF($H122="string",CHAR(34),""),I122,IF($H122="string",CHAR(34),""),";"),"")))</f>
        <v/>
      </c>
    </row>
    <row r="123" spans="2:12" x14ac:dyDescent="0.25">
      <c r="F123" s="5" t="s">
        <v>235</v>
      </c>
      <c r="G123" t="s">
        <v>203</v>
      </c>
      <c r="H123" t="s">
        <v>137</v>
      </c>
      <c r="L123" t="str" cm="1">
        <f t="array" ref="L123">IF($G123="","",_xlfn.CONCAT("public ",$H123," ",_xlfn.CONCAT(PROPER(_xlfn.TEXTSPLIT($G123, "_")))," { get; set; }",IF(COUNTIF(J123,"*"&amp;"Hardcoded"&amp;"*"),_xlfn.CONCAT(" = ",IF($H123="string",CHAR(34),""),I123,IF($H123="string",CHAR(34),""),";"),"")))</f>
        <v>public uint TaakId { get; set; }</v>
      </c>
    </row>
    <row r="124" spans="2:12" x14ac:dyDescent="0.25">
      <c r="F124" s="5" t="s">
        <v>235</v>
      </c>
      <c r="G124" t="s">
        <v>163</v>
      </c>
      <c r="H124" t="s">
        <v>137</v>
      </c>
      <c r="L124" t="str" cm="1">
        <f t="array" ref="L124">IF($G124="","",_xlfn.CONCAT("public ",$H124," ",_xlfn.CONCAT(PROPER(_xlfn.TEXTSPLIT($G124, "_")))," { get; set; }",IF(COUNTIF(J124,"*"&amp;"Hardcoded"&amp;"*"),_xlfn.CONCAT(" = ",IF($H124="string",CHAR(34),""),I124,IF($H124="string",CHAR(34),""),";"),"")))</f>
        <v>public uint PersoonId { get; set; }</v>
      </c>
    </row>
    <row r="125" spans="2:12" x14ac:dyDescent="0.25">
      <c r="F125" s="5" t="s">
        <v>235</v>
      </c>
      <c r="G125" t="s">
        <v>170</v>
      </c>
      <c r="H125" t="s">
        <v>128</v>
      </c>
      <c r="L125" t="str" cm="1">
        <f t="array" ref="L125">IF($G125="","",_xlfn.CONCAT("public ",$H125," ",_xlfn.CONCAT(PROPER(_xlfn.TEXTSPLIT($G125, "_")))," { get; set; }",IF(COUNTIF(J125,"*"&amp;"Hardcoded"&amp;"*"),_xlfn.CONCAT(" = ",IF($H125="string",CHAR(34),""),I125,IF($H125="string",CHAR(34),""),";"),"")))</f>
        <v>public int PodiumId { get; set; }</v>
      </c>
    </row>
    <row r="126" spans="2:12" x14ac:dyDescent="0.25">
      <c r="F126" s="5" t="s">
        <v>235</v>
      </c>
      <c r="G126" t="s">
        <v>200</v>
      </c>
      <c r="H126" t="s">
        <v>232</v>
      </c>
      <c r="L126" t="str" cm="1">
        <f t="array" ref="L126">IF($G126="","",_xlfn.CONCAT("public ",$H126," ",_xlfn.CONCAT(PROPER(_xlfn.TEXTSPLIT($G126, "_")))," { get; set; }",IF(COUNTIF(J126,"*"&amp;"Hardcoded"&amp;"*"),_xlfn.CONCAT(" = ",IF($H126="string",CHAR(34),""),I126,IF($H126="string",CHAR(34),""),";"),"")))</f>
        <v>public timeonly Van { get; set; }</v>
      </c>
    </row>
    <row r="127" spans="2:12" x14ac:dyDescent="0.25">
      <c r="F127" s="5" t="s">
        <v>235</v>
      </c>
      <c r="G127" t="s">
        <v>201</v>
      </c>
      <c r="H127" t="s">
        <v>232</v>
      </c>
      <c r="L127" t="str" cm="1">
        <f t="array" ref="L127">IF($G127="","",_xlfn.CONCAT("public ",$H127," ",_xlfn.CONCAT(PROPER(_xlfn.TEXTSPLIT($G127, "_")))," { get; set; }",IF(COUNTIF(J127,"*"&amp;"Hardcoded"&amp;"*"),_xlfn.CONCAT(" = ",IF($H127="string",CHAR(34),""),I127,IF($H127="string",CHAR(34),""),";"),"")))</f>
        <v>public timeonly Tot { get; set; }</v>
      </c>
    </row>
    <row r="128" spans="2:12" x14ac:dyDescent="0.25">
      <c r="F128" s="5" t="s">
        <v>235</v>
      </c>
      <c r="G128" t="s">
        <v>213</v>
      </c>
      <c r="H128" t="s">
        <v>137</v>
      </c>
      <c r="L128" t="str" cm="1">
        <f t="array" ref="L128">IF($G128="","",_xlfn.CONCAT("public ",$H128," ",_xlfn.CONCAT(PROPER(_xlfn.TEXTSPLIT($G128, "_")))," { get; set; }",IF(COUNTIF(J128,"*"&amp;"Hardcoded"&amp;"*"),_xlfn.CONCAT(" = ",IF($H128="string",CHAR(34),""),I128,IF($H128="string",CHAR(34),""),";"),"")))</f>
        <v>public uint Taak { get; set; }</v>
      </c>
    </row>
    <row r="129" spans="6:12" x14ac:dyDescent="0.25">
      <c r="F129" s="5" t="s">
        <v>235</v>
      </c>
      <c r="G129" t="s">
        <v>202</v>
      </c>
      <c r="H129" t="s">
        <v>231</v>
      </c>
      <c r="L129" t="str" cm="1">
        <f t="array" ref="L129">IF($G129="","",_xlfn.CONCAT("public ",$H129," ",_xlfn.CONCAT(PROPER(_xlfn.TEXTSPLIT($G129, "_")))," { get; set; }",IF(COUNTIF(J129,"*"&amp;"Hardcoded"&amp;"*"),_xlfn.CONCAT(" = ",IF($H129="string",CHAR(34),""),I129,IF($H129="string",CHAR(34),""),";"),"")))</f>
        <v>public string Vastgezet { get; set; 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Nijkamp</dc:creator>
  <cp:lastModifiedBy>Herbert Nijkamp</cp:lastModifiedBy>
  <dcterms:created xsi:type="dcterms:W3CDTF">2025-11-20T14:51:32Z</dcterms:created>
  <dcterms:modified xsi:type="dcterms:W3CDTF">2025-11-21T14:39:11Z</dcterms:modified>
</cp:coreProperties>
</file>